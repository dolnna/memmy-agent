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980" windowHeight="12320" tabRatio="500" activeTab="1"/>
  </bookViews>
  <sheets>
    <sheet name="★企业变量表" sheetId="2" r:id="rId1"/>
    <sheet name="十大板块诊断主表" sheetId="3" r:id="rId2"/>
    <sheet name="税务维度专项诊断" sheetId="4" r:id="rId3"/>
    <sheet name="风险汇总与应对方案" sheetId="5" r:id="rId4"/>
    <sheet name="交付清单汇总" sheetId="6" r:id="rId5"/>
  </sheets>
  <definedNames>
    <definedName name="_xlnm._FilterDatabase" localSheetId="1" hidden="1">十大板块诊断主表!$A$4:$P$166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<sst xmlns="http://schemas.openxmlformats.org/spreadsheetml/2006/main" count="2254" uniqueCount="1277">
  <si>
    <r>
      <rPr>
        <b/>
        <sz val="14"/>
        <color rgb="FF0C447C"/>
        <rFont val="Noto Sans CJK SC"/>
        <charset val="134"/>
      </rPr>
      <t>★ 企业变量表 —— 一次采集</t>
    </r>
    <r>
      <rPr>
        <b/>
        <sz val="14"/>
        <color rgb="FF0C447C"/>
        <rFont val="微软雅黑"/>
        <charset val="1"/>
      </rPr>
      <t>,</t>
    </r>
    <r>
      <rPr>
        <b/>
        <sz val="14"/>
        <color rgb="FF0C447C"/>
        <rFont val="Noto Sans CJK SC"/>
        <charset val="134"/>
      </rPr>
      <t>所有文档复用</t>
    </r>
  </si>
  <si>
    <r>
      <rPr>
        <b/>
        <sz val="9"/>
        <color rgb="FF378ADD"/>
        <rFont val="Noto Sans CJK SC"/>
        <charset val="134"/>
      </rPr>
      <t xml:space="preserve">所有 </t>
    </r>
    <r>
      <rPr>
        <b/>
        <sz val="9"/>
        <color rgb="FF378ADD"/>
        <rFont val="微软雅黑"/>
        <charset val="1"/>
      </rPr>
      <t xml:space="preserve">T/P </t>
    </r>
    <r>
      <rPr>
        <b/>
        <sz val="9"/>
        <color rgb="FF378ADD"/>
        <rFont val="Noto Sans CJK SC"/>
        <charset val="134"/>
      </rPr>
      <t>类文档要填的空</t>
    </r>
    <r>
      <rPr>
        <b/>
        <sz val="9"/>
        <color rgb="FF378ADD"/>
        <rFont val="微软雅黑"/>
        <charset val="1"/>
      </rPr>
      <t>,</t>
    </r>
    <r>
      <rPr>
        <b/>
        <sz val="9"/>
        <color rgb="FF378ADD"/>
        <rFont val="Noto Sans CJK SC"/>
        <charset val="134"/>
      </rPr>
      <t>其实是同一批变量。填完这张表</t>
    </r>
    <r>
      <rPr>
        <b/>
        <sz val="9"/>
        <color rgb="FF378ADD"/>
        <rFont val="微软雅黑"/>
        <charset val="1"/>
      </rPr>
      <t>,</t>
    </r>
    <r>
      <rPr>
        <b/>
        <sz val="9"/>
        <color rgb="FF378ADD"/>
        <rFont val="Noto Sans CJK SC"/>
        <charset val="134"/>
      </rPr>
      <t>文档生成就从「创作」降级成「填空」—— 这是把几十份文件工作量压到接近零的关键。</t>
    </r>
  </si>
  <si>
    <t>变量代号</t>
  </si>
  <si>
    <t>变量名称</t>
  </si>
  <si>
    <t>采集值</t>
  </si>
  <si>
    <r>
      <rPr>
        <b/>
        <sz val="10"/>
        <color rgb="FFFFFFFF"/>
        <rFont val="Noto Sans CJK SC"/>
        <charset val="134"/>
      </rPr>
      <t xml:space="preserve">说明 </t>
    </r>
    <r>
      <rPr>
        <b/>
        <sz val="10"/>
        <color rgb="FFFFFFFF"/>
        <rFont val="微软雅黑"/>
        <charset val="1"/>
      </rPr>
      <t xml:space="preserve">/ </t>
    </r>
    <r>
      <rPr>
        <b/>
        <sz val="10"/>
        <color rgb="FFFFFFFF"/>
        <rFont val="Noto Sans CJK SC"/>
        <charset val="134"/>
      </rPr>
      <t>采集要点</t>
    </r>
  </si>
  <si>
    <t>用于哪些文档</t>
  </si>
  <si>
    <r>
      <rPr>
        <b/>
        <sz val="10"/>
        <color rgb="FF0C447C"/>
        <rFont val="Noto Sans CJK SC"/>
        <charset val="134"/>
      </rPr>
      <t>一、主体信息</t>
    </r>
    <r>
      <rPr>
        <b/>
        <sz val="10"/>
        <color rgb="FF0C447C"/>
        <rFont val="微软雅黑"/>
        <charset val="1"/>
      </rPr>
      <t>(</t>
    </r>
    <r>
      <rPr>
        <b/>
        <sz val="10"/>
        <color rgb="FF0C447C"/>
        <rFont val="Noto Sans CJK SC"/>
        <charset val="134"/>
      </rPr>
      <t>所有文档抬头都要用</t>
    </r>
    <r>
      <rPr>
        <b/>
        <sz val="10"/>
        <color rgb="FF0C447C"/>
        <rFont val="微软雅黑"/>
        <charset val="1"/>
      </rPr>
      <t>)</t>
    </r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</si>
  <si>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公司全称</t>
    </r>
    <r>
      <rPr>
        <b/>
        <sz val="9"/>
        <color rgb="FF378ADD"/>
        <rFont val="微软雅黑"/>
        <charset val="1"/>
      </rPr>
      <t>}</t>
    </r>
  </si>
  <si>
    <t>公司全称</t>
  </si>
  <si>
    <r>
      <rPr>
        <sz val="10"/>
        <color rgb="FF333333"/>
        <rFont val="Noto Sans CJK SC"/>
        <charset val="134"/>
      </rPr>
      <t>营业执照全称</t>
    </r>
    <r>
      <rPr>
        <sz val="10"/>
        <color rgb="FF333333"/>
        <rFont val="微软雅黑"/>
        <charset val="1"/>
      </rPr>
      <t>,</t>
    </r>
    <r>
      <rPr>
        <sz val="10"/>
        <color rgb="FF333333"/>
        <rFont val="Noto Sans CJK SC"/>
        <charset val="134"/>
      </rPr>
      <t>一字不差</t>
    </r>
  </si>
  <si>
    <t>全部文档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</si>
  <si>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统一社会信用代码</t>
    </r>
    <r>
      <rPr>
        <b/>
        <sz val="9"/>
        <color rgb="FF378ADD"/>
        <rFont val="微软雅黑"/>
        <charset val="1"/>
      </rPr>
      <t>}</t>
    </r>
  </si>
  <si>
    <t>统一社会信用代码</t>
  </si>
  <si>
    <t>合同、协议、备案文件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</si>
  <si>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法定代表人</t>
    </r>
    <r>
      <rPr>
        <b/>
        <sz val="9"/>
        <color rgb="FF378ADD"/>
        <rFont val="微软雅黑"/>
        <charset val="1"/>
      </rPr>
      <t>}</t>
    </r>
  </si>
  <si>
    <t>法定代表人</t>
  </si>
  <si>
    <t>合同、制度发文、决议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</si>
  <si>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注册地址</t>
    </r>
    <r>
      <rPr>
        <b/>
        <sz val="9"/>
        <color rgb="FF378ADD"/>
        <rFont val="微软雅黑"/>
        <charset val="1"/>
      </rPr>
      <t>}</t>
    </r>
  </si>
  <si>
    <t>注册地址</t>
  </si>
  <si>
    <t>合同、送达条款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</si>
  <si>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实际经营地址</t>
    </r>
    <r>
      <rPr>
        <b/>
        <sz val="9"/>
        <color rgb="FF378ADD"/>
        <rFont val="微软雅黑"/>
        <charset val="1"/>
      </rPr>
      <t>}</t>
    </r>
  </si>
  <si>
    <t>实际经营地址</t>
  </si>
  <si>
    <t>与注册地不同时须分别写明</t>
  </si>
  <si>
    <t>合同工作地点条款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</si>
  <si>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其他主体</t>
    </r>
    <r>
      <rPr>
        <b/>
        <sz val="9"/>
        <color rgb="FF378ADD"/>
        <rFont val="微软雅黑"/>
        <charset val="1"/>
      </rPr>
      <t>}</t>
    </r>
  </si>
  <si>
    <t>其他关联主体</t>
  </si>
  <si>
    <r>
      <rPr>
        <sz val="10"/>
        <color rgb="FF333333"/>
        <rFont val="Noto Sans CJK SC"/>
        <charset val="134"/>
      </rPr>
      <t>★ 有几家</t>
    </r>
    <r>
      <rPr>
        <sz val="10"/>
        <color rgb="FF333333"/>
        <rFont val="微软雅黑"/>
        <charset val="1"/>
      </rPr>
      <t>?</t>
    </r>
    <r>
      <rPr>
        <sz val="10"/>
        <color rgb="FF333333"/>
        <rFont val="Noto Sans CJK SC"/>
        <charset val="134"/>
      </rPr>
      <t>名称</t>
    </r>
    <r>
      <rPr>
        <sz val="10"/>
        <color rgb="FF333333"/>
        <rFont val="微软雅黑"/>
        <charset val="1"/>
      </rPr>
      <t>?</t>
    </r>
    <r>
      <rPr>
        <sz val="10"/>
        <color rgb="FF333333"/>
        <rFont val="Noto Sans CJK SC"/>
        <charset val="134"/>
      </rPr>
      <t>关系</t>
    </r>
    <r>
      <rPr>
        <sz val="10"/>
        <color rgb="FF333333"/>
        <rFont val="微软雅黑"/>
        <charset val="1"/>
      </rPr>
      <t xml:space="preserve">?→ </t>
    </r>
    <r>
      <rPr>
        <sz val="10"/>
        <color rgb="FF333333"/>
        <rFont val="Noto Sans CJK SC"/>
        <charset val="134"/>
      </rPr>
      <t xml:space="preserve">关联主表 </t>
    </r>
    <r>
      <rPr>
        <sz val="10"/>
        <color rgb="FF333333"/>
        <rFont val="微软雅黑"/>
        <charset val="1"/>
      </rPr>
      <t xml:space="preserve">#9 </t>
    </r>
    <r>
      <rPr>
        <sz val="10"/>
        <color rgb="FF333333"/>
        <rFont val="Noto Sans CJK SC"/>
        <charset val="134"/>
      </rPr>
      <t>用工主体一致性</t>
    </r>
  </si>
  <si>
    <t>关联用工协议、主体确认表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</si>
  <si>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签约主体</t>
    </r>
    <r>
      <rPr>
        <b/>
        <sz val="9"/>
        <color rgb="FF378ADD"/>
        <rFont val="微软雅黑"/>
        <charset val="1"/>
      </rPr>
      <t>}</t>
    </r>
  </si>
  <si>
    <t>实际签约主体</t>
  </si>
  <si>
    <r>
      <rPr>
        <sz val="10"/>
        <color rgb="FF333333"/>
        <rFont val="Noto Sans CJK SC"/>
        <charset val="134"/>
      </rPr>
      <t xml:space="preserve">★ 招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 xml:space="preserve">签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 xml:space="preserve">发薪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>参保 四者是否同一主体</t>
    </r>
    <r>
      <rPr>
        <sz val="10"/>
        <color rgb="FF333333"/>
        <rFont val="微软雅黑"/>
        <charset val="1"/>
      </rPr>
      <t>?</t>
    </r>
    <r>
      <rPr>
        <sz val="10"/>
        <color rgb="FF333333"/>
        <rFont val="Noto Sans CJK SC"/>
        <charset val="134"/>
      </rPr>
      <t>不一致须标出</t>
    </r>
  </si>
  <si>
    <t>劳动合同、参保文件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</si>
  <si>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联系人</t>
    </r>
    <r>
      <rPr>
        <b/>
        <sz val="9"/>
        <color rgb="FF378ADD"/>
        <rFont val="微软雅黑"/>
        <charset val="1"/>
      </rPr>
      <t>}</t>
    </r>
  </si>
  <si>
    <r>
      <rPr>
        <sz val="10"/>
        <color rgb="FF333333"/>
        <rFont val="微软雅黑"/>
        <charset val="1"/>
      </rPr>
      <t>HR</t>
    </r>
    <r>
      <rPr>
        <sz val="10"/>
        <color rgb="FF333333"/>
        <rFont val="Noto Sans CJK SC"/>
        <charset val="134"/>
      </rPr>
      <t xml:space="preserve">对接人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 xml:space="preserve">职务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>电话</t>
    </r>
  </si>
  <si>
    <t>交付与培训安排</t>
  </si>
  <si>
    <r>
      <rPr>
        <b/>
        <sz val="10"/>
        <color rgb="FF0C447C"/>
        <rFont val="Noto Sans CJK SC"/>
        <charset val="134"/>
      </rPr>
      <t>二、参保与地方口径</t>
    </r>
    <r>
      <rPr>
        <b/>
        <sz val="10"/>
        <color rgb="FF0C447C"/>
        <rFont val="微软雅黑"/>
        <charset val="1"/>
      </rPr>
      <t xml:space="preserve">(★ </t>
    </r>
    <r>
      <rPr>
        <b/>
        <sz val="10"/>
        <color rgb="FF0C447C"/>
        <rFont val="Noto Sans CJK SC"/>
        <charset val="134"/>
      </rPr>
      <t>一家一采</t>
    </r>
    <r>
      <rPr>
        <b/>
        <sz val="10"/>
        <color rgb="FF0C447C"/>
        <rFont val="微软雅黑"/>
        <charset val="1"/>
      </rPr>
      <t>,</t>
    </r>
    <r>
      <rPr>
        <b/>
        <sz val="10"/>
        <color rgb="FF0C447C"/>
        <rFont val="Noto Sans CJK SC"/>
        <charset val="134"/>
      </rPr>
      <t>不可套模板</t>
    </r>
    <r>
      <rPr>
        <b/>
        <sz val="10"/>
        <color rgb="FF0C447C"/>
        <rFont val="微软雅黑"/>
        <charset val="1"/>
      </rPr>
      <t>)</t>
    </r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</si>
  <si>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参保地</t>
    </r>
    <r>
      <rPr>
        <b/>
        <sz val="9"/>
        <color rgb="FF378ADD"/>
        <rFont val="微软雅黑"/>
        <charset val="1"/>
      </rPr>
      <t>}</t>
    </r>
  </si>
  <si>
    <r>
      <rPr>
        <sz val="10"/>
        <color rgb="FF333333"/>
        <rFont val="Noto Sans CJK SC"/>
        <charset val="134"/>
      </rPr>
      <t>社保参保地</t>
    </r>
    <r>
      <rPr>
        <sz val="10"/>
        <color rgb="FF333333"/>
        <rFont val="微软雅黑"/>
        <charset val="1"/>
      </rPr>
      <t>(</t>
    </r>
    <r>
      <rPr>
        <sz val="10"/>
        <color rgb="FF333333"/>
        <rFont val="Noto Sans CJK SC"/>
        <charset val="134"/>
      </rPr>
      <t>统筹区</t>
    </r>
    <r>
      <rPr>
        <sz val="10"/>
        <color rgb="FF333333"/>
        <rFont val="微软雅黑"/>
        <charset val="1"/>
      </rPr>
      <t>)</t>
    </r>
  </si>
  <si>
    <r>
      <rPr>
        <sz val="10"/>
        <color rgb="FF333333"/>
        <rFont val="Noto Sans CJK SC"/>
        <charset val="134"/>
      </rPr>
      <t>以实际参保地为准</t>
    </r>
    <r>
      <rPr>
        <sz val="10"/>
        <color rgb="FF333333"/>
        <rFont val="微软雅黑"/>
        <charset val="1"/>
      </rPr>
      <t>,</t>
    </r>
    <r>
      <rPr>
        <sz val="10"/>
        <color rgb="FF333333"/>
        <rFont val="Noto Sans CJK SC"/>
        <charset val="134"/>
      </rPr>
      <t>不是注册地</t>
    </r>
  </si>
  <si>
    <t>社保方案、参保文件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</si>
  <si>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公积金地</t>
    </r>
    <r>
      <rPr>
        <b/>
        <sz val="9"/>
        <color rgb="FF378ADD"/>
        <rFont val="微软雅黑"/>
        <charset val="1"/>
      </rPr>
      <t>}</t>
    </r>
  </si>
  <si>
    <t>公积金统筹区</t>
  </si>
  <si>
    <t>可能与社保统筹区不一致</t>
  </si>
  <si>
    <t>公积金方案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</si>
  <si>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社保基数下限</t>
    </r>
    <r>
      <rPr>
        <b/>
        <sz val="9"/>
        <color rgb="FF378ADD"/>
        <rFont val="微软雅黑"/>
        <charset val="1"/>
      </rPr>
      <t>}</t>
    </r>
  </si>
  <si>
    <t>社保缴费基数下限</t>
  </si>
  <si>
    <r>
      <rPr>
        <sz val="10"/>
        <color rgb="FF333333"/>
        <rFont val="Noto Sans CJK SC"/>
        <charset val="134"/>
      </rPr>
      <t>★ 元</t>
    </r>
    <r>
      <rPr>
        <sz val="10"/>
        <color rgb="FF333333"/>
        <rFont val="微软雅黑"/>
        <charset val="1"/>
      </rPr>
      <t>/</t>
    </r>
    <r>
      <rPr>
        <sz val="10"/>
        <color rgb="FF333333"/>
        <rFont val="Noto Sans CJK SC"/>
        <charset val="134"/>
      </rPr>
      <t>月。不得低于此下限</t>
    </r>
  </si>
  <si>
    <t>基数测算、成本测算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</si>
  <si>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社保基数上限</t>
    </r>
    <r>
      <rPr>
        <b/>
        <sz val="9"/>
        <color rgb="FF378ADD"/>
        <rFont val="微软雅黑"/>
        <charset val="1"/>
      </rPr>
      <t>}</t>
    </r>
  </si>
  <si>
    <t>社保缴费基数上限</t>
  </si>
  <si>
    <r>
      <rPr>
        <sz val="10"/>
        <color rgb="FF333333"/>
        <rFont val="Noto Sans CJK SC"/>
        <charset val="134"/>
      </rPr>
      <t>元</t>
    </r>
    <r>
      <rPr>
        <sz val="10"/>
        <color rgb="FF333333"/>
        <rFont val="微软雅黑"/>
        <charset val="1"/>
      </rPr>
      <t>/</t>
    </r>
    <r>
      <rPr>
        <sz val="10"/>
        <color rgb="FF333333"/>
        <rFont val="Noto Sans CJK SC"/>
        <charset val="134"/>
      </rPr>
      <t>月</t>
    </r>
  </si>
  <si>
    <t>基数测算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</si>
  <si>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公积金基数下限</t>
    </r>
    <r>
      <rPr>
        <b/>
        <sz val="9"/>
        <color rgb="FF378ADD"/>
        <rFont val="微软雅黑"/>
        <charset val="1"/>
      </rPr>
      <t>}</t>
    </r>
  </si>
  <si>
    <t>公积金缴费基数下限</t>
  </si>
  <si>
    <r>
      <rPr>
        <sz val="10"/>
        <color rgb="FF333333"/>
        <rFont val="Noto Sans CJK SC"/>
        <charset val="134"/>
      </rPr>
      <t>★★ 元</t>
    </r>
    <r>
      <rPr>
        <sz val="10"/>
        <color rgb="FF333333"/>
        <rFont val="微软雅黑"/>
        <charset val="1"/>
      </rPr>
      <t>/</t>
    </r>
    <r>
      <rPr>
        <sz val="10"/>
        <color rgb="FF333333"/>
        <rFont val="Noto Sans CJK SC"/>
        <charset val="134"/>
      </rPr>
      <t>月。多地</t>
    </r>
    <r>
      <rPr>
        <sz val="10"/>
        <color rgb="FF333333"/>
        <rFont val="微软雅黑"/>
        <charset val="1"/>
      </rPr>
      <t>=</t>
    </r>
    <r>
      <rPr>
        <sz val="10"/>
        <color rgb="FF333333"/>
        <rFont val="Noto Sans CJK SC"/>
        <charset val="134"/>
      </rPr>
      <t>当地最低工资</t>
    </r>
    <r>
      <rPr>
        <sz val="10"/>
        <color rgb="FF333333"/>
        <rFont val="微软雅黑"/>
        <charset val="1"/>
      </rPr>
      <t>,</t>
    </r>
    <r>
      <rPr>
        <sz val="10"/>
        <color rgb="FF333333"/>
        <rFont val="Noto Sans CJK SC"/>
        <charset val="134"/>
      </rPr>
      <t>与社保下限【独立适用】</t>
    </r>
    <r>
      <rPr>
        <sz val="10"/>
        <color rgb="FF333333"/>
        <rFont val="微软雅黑"/>
        <charset val="1"/>
      </rPr>
      <t>,</t>
    </r>
    <r>
      <rPr>
        <sz val="10"/>
        <color rgb="FF333333"/>
        <rFont val="Noto Sans CJK SC"/>
        <charset val="134"/>
      </rPr>
      <t>不得混用</t>
    </r>
  </si>
  <si>
    <t>公积金方案、成本测算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</si>
  <si>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最低工资</t>
    </r>
    <r>
      <rPr>
        <b/>
        <sz val="9"/>
        <color rgb="FF378ADD"/>
        <rFont val="微软雅黑"/>
        <charset val="1"/>
      </rPr>
      <t>}</t>
    </r>
  </si>
  <si>
    <t>当地最低工资标准</t>
  </si>
  <si>
    <t>薪酬制度、试用期工资、待岗工资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</si>
  <si>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单位社保比例</t>
    </r>
    <r>
      <rPr>
        <b/>
        <sz val="9"/>
        <color rgb="FF378ADD"/>
        <rFont val="微软雅黑"/>
        <charset val="1"/>
      </rPr>
      <t>}</t>
    </r>
  </si>
  <si>
    <t>单位社保合计比例</t>
  </si>
  <si>
    <r>
      <rPr>
        <sz val="10"/>
        <color rgb="FF333333"/>
        <rFont val="微软雅黑"/>
        <charset val="1"/>
      </rPr>
      <t>%(</t>
    </r>
    <r>
      <rPr>
        <sz val="10"/>
        <color rgb="FF333333"/>
        <rFont val="Noto Sans CJK SC"/>
        <charset val="134"/>
      </rPr>
      <t>养老</t>
    </r>
    <r>
      <rPr>
        <sz val="10"/>
        <color rgb="FF333333"/>
        <rFont val="微软雅黑"/>
        <charset val="1"/>
      </rPr>
      <t>+</t>
    </r>
    <r>
      <rPr>
        <sz val="10"/>
        <color rgb="FF333333"/>
        <rFont val="Noto Sans CJK SC"/>
        <charset val="134"/>
      </rPr>
      <t>医疗</t>
    </r>
    <r>
      <rPr>
        <sz val="10"/>
        <color rgb="FF333333"/>
        <rFont val="微软雅黑"/>
        <charset val="1"/>
      </rPr>
      <t>+</t>
    </r>
    <r>
      <rPr>
        <sz val="10"/>
        <color rgb="FF333333"/>
        <rFont val="Noto Sans CJK SC"/>
        <charset val="134"/>
      </rPr>
      <t>失业</t>
    </r>
    <r>
      <rPr>
        <sz val="10"/>
        <color rgb="FF333333"/>
        <rFont val="微软雅黑"/>
        <charset val="1"/>
      </rPr>
      <t>+</t>
    </r>
    <r>
      <rPr>
        <sz val="10"/>
        <color rgb="FF333333"/>
        <rFont val="Noto Sans CJK SC"/>
        <charset val="134"/>
      </rPr>
      <t>工伤</t>
    </r>
    <r>
      <rPr>
        <sz val="10"/>
        <color rgb="FF333333"/>
        <rFont val="微软雅黑"/>
        <charset val="1"/>
      </rPr>
      <t>)</t>
    </r>
  </si>
  <si>
    <t>成本测算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</si>
  <si>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公积金比例</t>
    </r>
    <r>
      <rPr>
        <b/>
        <sz val="9"/>
        <color rgb="FF378ADD"/>
        <rFont val="微软雅黑"/>
        <charset val="1"/>
      </rPr>
      <t>}</t>
    </r>
  </si>
  <si>
    <t>公积金当前单位比例</t>
  </si>
  <si>
    <r>
      <rPr>
        <sz val="10"/>
        <color rgb="FF333333"/>
        <rFont val="微软雅黑"/>
        <charset val="1"/>
      </rPr>
      <t>%,</t>
    </r>
    <r>
      <rPr>
        <sz val="10"/>
        <color rgb="FF333333"/>
        <rFont val="Noto Sans CJK SC"/>
        <charset val="134"/>
      </rPr>
      <t xml:space="preserve">未开缴填 </t>
    </r>
    <r>
      <rPr>
        <sz val="10"/>
        <color rgb="FF333333"/>
        <rFont val="微软雅黑"/>
        <charset val="1"/>
      </rPr>
      <t>0</t>
    </r>
    <r>
      <rPr>
        <sz val="10"/>
        <color rgb="FF333333"/>
        <rFont val="Noto Sans CJK SC"/>
        <charset val="134"/>
      </rPr>
      <t>。</t>
    </r>
    <r>
      <rPr>
        <sz val="10"/>
        <color rgb="FF333333"/>
        <rFont val="微软雅黑"/>
        <charset val="1"/>
      </rPr>
      <t xml:space="preserve">5%–12% </t>
    </r>
    <r>
      <rPr>
        <sz val="10"/>
        <color rgb="FF333333"/>
        <rFont val="Noto Sans CJK SC"/>
        <charset val="134"/>
      </rPr>
      <t>区间是重要缓冲工具</t>
    </r>
  </si>
  <si>
    <t>公积金过渡方案</t>
  </si>
  <si>
    <t>三、用工与工时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</si>
  <si>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总人数</t>
    </r>
    <r>
      <rPr>
        <b/>
        <sz val="9"/>
        <color rgb="FF378ADD"/>
        <rFont val="微软雅黑"/>
        <charset val="1"/>
      </rPr>
      <t>}</t>
    </r>
  </si>
  <si>
    <t>在册总人数</t>
  </si>
  <si>
    <t>制度、方案、成本测算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</si>
  <si>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工时制度</t>
    </r>
    <r>
      <rPr>
        <b/>
        <sz val="9"/>
        <color rgb="FF378ADD"/>
        <rFont val="微软雅黑"/>
        <charset val="1"/>
      </rPr>
      <t>}</t>
    </r>
  </si>
  <si>
    <t>执行的工时制度</t>
  </si>
  <si>
    <r>
      <rPr>
        <sz val="10"/>
        <color rgb="FF333333"/>
        <rFont val="Noto Sans CJK SC"/>
        <charset val="134"/>
      </rPr>
      <t xml:space="preserve">标准工时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 xml:space="preserve">综合计算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>不定时</t>
    </r>
    <r>
      <rPr>
        <sz val="10"/>
        <color rgb="FF333333"/>
        <rFont val="微软雅黑"/>
        <charset val="1"/>
      </rPr>
      <t>(</t>
    </r>
    <r>
      <rPr>
        <sz val="10"/>
        <color rgb="FF333333"/>
        <rFont val="Noto Sans CJK SC"/>
        <charset val="134"/>
      </rPr>
      <t>是否已审批</t>
    </r>
    <r>
      <rPr>
        <sz val="10"/>
        <color rgb="FF333333"/>
        <rFont val="微软雅黑"/>
        <charset val="1"/>
      </rPr>
      <t>?)</t>
    </r>
  </si>
  <si>
    <t>考勤制度、加班规则、劳动合同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</si>
  <si>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考勤周期</t>
    </r>
    <r>
      <rPr>
        <b/>
        <sz val="9"/>
        <color rgb="FF378ADD"/>
        <rFont val="微软雅黑"/>
        <charset val="1"/>
      </rPr>
      <t>}</t>
    </r>
  </si>
  <si>
    <t>考勤周期</t>
  </si>
  <si>
    <r>
      <rPr>
        <sz val="10"/>
        <color rgb="FF333333"/>
        <rFont val="Noto Sans CJK SC"/>
        <charset val="134"/>
      </rPr>
      <t>如</t>
    </r>
    <r>
      <rPr>
        <sz val="10"/>
        <color rgb="FF333333"/>
        <rFont val="微软雅黑"/>
        <charset val="1"/>
      </rPr>
      <t>:</t>
    </r>
    <r>
      <rPr>
        <sz val="10"/>
        <color rgb="FF333333"/>
        <rFont val="Noto Sans CJK SC"/>
        <charset val="134"/>
      </rPr>
      <t>每月</t>
    </r>
    <r>
      <rPr>
        <sz val="10"/>
        <color rgb="FF333333"/>
        <rFont val="微软雅黑"/>
        <charset val="1"/>
      </rPr>
      <t>1</t>
    </r>
    <r>
      <rPr>
        <sz val="10"/>
        <color rgb="FF333333"/>
        <rFont val="Noto Sans CJK SC"/>
        <charset val="134"/>
      </rPr>
      <t xml:space="preserve">日–月末 </t>
    </r>
    <r>
      <rPr>
        <sz val="10"/>
        <color rgb="FF333333"/>
        <rFont val="微软雅黑"/>
        <charset val="1"/>
      </rPr>
      <t>/ 26</t>
    </r>
    <r>
      <rPr>
        <sz val="10"/>
        <color rgb="FF333333"/>
        <rFont val="Noto Sans CJK SC"/>
        <charset val="134"/>
      </rPr>
      <t>日–</t>
    </r>
    <r>
      <rPr>
        <sz val="10"/>
        <color rgb="FF333333"/>
        <rFont val="微软雅黑"/>
        <charset val="1"/>
      </rPr>
      <t>25</t>
    </r>
    <r>
      <rPr>
        <sz val="10"/>
        <color rgb="FF333333"/>
        <rFont val="Noto Sans CJK SC"/>
        <charset val="134"/>
      </rPr>
      <t>日</t>
    </r>
  </si>
  <si>
    <t>考勤制度、工资条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</si>
  <si>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加班审批人</t>
    </r>
    <r>
      <rPr>
        <b/>
        <sz val="9"/>
        <color rgb="FF378ADD"/>
        <rFont val="微软雅黑"/>
        <charset val="1"/>
      </rPr>
      <t>}</t>
    </r>
  </si>
  <si>
    <t>加班审批权限</t>
  </si>
  <si>
    <r>
      <rPr>
        <sz val="10"/>
        <color rgb="FF333333"/>
        <rFont val="Noto Sans CJK SC"/>
        <charset val="134"/>
      </rPr>
      <t>谁审批</t>
    </r>
    <r>
      <rPr>
        <sz val="10"/>
        <color rgb="FF333333"/>
        <rFont val="微软雅黑"/>
        <charset val="1"/>
      </rPr>
      <t>?</t>
    </r>
    <r>
      <rPr>
        <sz val="10"/>
        <color rgb="FF333333"/>
        <rFont val="Noto Sans CJK SC"/>
        <charset val="134"/>
      </rPr>
      <t>几级</t>
    </r>
    <r>
      <rPr>
        <sz val="10"/>
        <color rgb="FF333333"/>
        <rFont val="微软雅黑"/>
        <charset val="1"/>
      </rPr>
      <t>?</t>
    </r>
  </si>
  <si>
    <t>加班审批表、考勤制度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</si>
  <si>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考勤方式</t>
    </r>
    <r>
      <rPr>
        <b/>
        <sz val="9"/>
        <color rgb="FF378ADD"/>
        <rFont val="微软雅黑"/>
        <charset val="1"/>
      </rPr>
      <t>}</t>
    </r>
  </si>
  <si>
    <t>考勤方式与系统</t>
  </si>
  <si>
    <r>
      <rPr>
        <sz val="10"/>
        <color rgb="FF333333"/>
        <rFont val="Noto Sans CJK SC"/>
        <charset val="134"/>
      </rPr>
      <t xml:space="preserve">打卡机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 xml:space="preserve">钉钉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>纸质</t>
    </r>
    <r>
      <rPr>
        <sz val="10"/>
        <color rgb="FF333333"/>
        <rFont val="微软雅黑"/>
        <charset val="1"/>
      </rPr>
      <t>?</t>
    </r>
    <r>
      <rPr>
        <sz val="10"/>
        <color rgb="FF333333"/>
        <rFont val="Noto Sans CJK SC"/>
        <charset val="134"/>
      </rPr>
      <t>数据能否导出留存</t>
    </r>
    <r>
      <rPr>
        <sz val="10"/>
        <color rgb="FF333333"/>
        <rFont val="微软雅黑"/>
        <charset val="1"/>
      </rPr>
      <t>?</t>
    </r>
  </si>
  <si>
    <t>考勤制度、证据体系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</si>
  <si>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用工形式</t>
    </r>
    <r>
      <rPr>
        <b/>
        <sz val="9"/>
        <color rgb="FF378ADD"/>
        <rFont val="微软雅黑"/>
        <charset val="1"/>
      </rPr>
      <t>}</t>
    </r>
  </si>
  <si>
    <t>涉及的用工形式</t>
  </si>
  <si>
    <r>
      <rPr>
        <sz val="10"/>
        <color rgb="FF333333"/>
        <rFont val="Noto Sans CJK SC"/>
        <charset val="134"/>
      </rPr>
      <t xml:space="preserve">全日制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 xml:space="preserve">非全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 xml:space="preserve">派遣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 xml:space="preserve">外包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 xml:space="preserve">返聘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 xml:space="preserve">实习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>灵活</t>
    </r>
  </si>
  <si>
    <t>用工形式方案、各类协议</t>
  </si>
  <si>
    <t>四、薪酬与发放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</si>
  <si>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薪酬结构</t>
    </r>
    <r>
      <rPr>
        <b/>
        <sz val="9"/>
        <color rgb="FF378ADD"/>
        <rFont val="微软雅黑"/>
        <charset val="1"/>
      </rPr>
      <t>}</t>
    </r>
  </si>
  <si>
    <t>薪酬结构科目</t>
  </si>
  <si>
    <r>
      <rPr>
        <sz val="10"/>
        <color rgb="FF333333"/>
        <rFont val="Noto Sans CJK SC"/>
        <charset val="134"/>
      </rPr>
      <t xml:space="preserve">★ 基本工资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 xml:space="preserve">绩效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 xml:space="preserve">津贴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>补贴 —— 各科目名称与占比</t>
    </r>
  </si>
  <si>
    <t>薪酬制度、社保基数、加班费基数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</si>
  <si>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发薪日</t>
    </r>
    <r>
      <rPr>
        <b/>
        <sz val="9"/>
        <color rgb="FF378ADD"/>
        <rFont val="微软雅黑"/>
        <charset val="1"/>
      </rPr>
      <t>}</t>
    </r>
  </si>
  <si>
    <t>发薪日</t>
  </si>
  <si>
    <t>每月几号发上月工资</t>
  </si>
  <si>
    <t>劳动合同、薪酬制度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</si>
  <si>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发薪方式</t>
    </r>
    <r>
      <rPr>
        <b/>
        <sz val="9"/>
        <color rgb="FF378ADD"/>
        <rFont val="微软雅黑"/>
        <charset val="1"/>
      </rPr>
      <t>}</t>
    </r>
  </si>
  <si>
    <t>发薪方式</t>
  </si>
  <si>
    <r>
      <rPr>
        <sz val="10"/>
        <color rgb="FF333333"/>
        <rFont val="Noto Sans CJK SC"/>
        <charset val="134"/>
      </rPr>
      <t xml:space="preserve">对公代发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 xml:space="preserve">现金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>私卡</t>
    </r>
    <r>
      <rPr>
        <sz val="10"/>
        <color rgb="FF333333"/>
        <rFont val="微软雅黑"/>
        <charset val="1"/>
      </rPr>
      <t>?(</t>
    </r>
    <r>
      <rPr>
        <sz val="10"/>
        <color rgb="FF333333"/>
        <rFont val="Noto Sans CJK SC"/>
        <charset val="134"/>
      </rPr>
      <t>现金私卡 → 高危</t>
    </r>
    <r>
      <rPr>
        <sz val="10"/>
        <color rgb="FF333333"/>
        <rFont val="微软雅黑"/>
        <charset val="1"/>
      </rPr>
      <t>)</t>
    </r>
  </si>
  <si>
    <t>薪酬制度、三表一致方案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</si>
  <si>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加班费基数</t>
    </r>
    <r>
      <rPr>
        <b/>
        <sz val="9"/>
        <color rgb="FF378ADD"/>
        <rFont val="微软雅黑"/>
        <charset val="1"/>
      </rPr>
      <t>}</t>
    </r>
  </si>
  <si>
    <t>加班费计算基数口径</t>
  </si>
  <si>
    <r>
      <rPr>
        <sz val="10"/>
        <color rgb="FF333333"/>
        <rFont val="Noto Sans CJK SC"/>
        <charset val="134"/>
      </rPr>
      <t xml:space="preserve">按全额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>按基本工资</t>
    </r>
    <r>
      <rPr>
        <sz val="10"/>
        <color rgb="FF333333"/>
        <rFont val="微软雅黑"/>
        <charset val="1"/>
      </rPr>
      <t>?(</t>
    </r>
    <r>
      <rPr>
        <sz val="10"/>
        <color rgb="FF333333"/>
        <rFont val="Noto Sans CJK SC"/>
        <charset val="134"/>
      </rPr>
      <t>注意地方差异</t>
    </r>
    <r>
      <rPr>
        <sz val="10"/>
        <color rgb="FF333333"/>
        <rFont val="微软雅黑"/>
        <charset val="1"/>
      </rPr>
      <t>)</t>
    </r>
  </si>
  <si>
    <t>加班费方案、劳动合同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</si>
  <si>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现有福利项</t>
    </r>
    <r>
      <rPr>
        <b/>
        <sz val="9"/>
        <color rgb="FF378ADD"/>
        <rFont val="微软雅黑"/>
        <charset val="1"/>
      </rPr>
      <t>}</t>
    </r>
  </si>
  <si>
    <t>现有福利项目</t>
  </si>
  <si>
    <r>
      <rPr>
        <sz val="10"/>
        <color rgb="FF333333"/>
        <rFont val="Noto Sans CJK SC"/>
        <charset val="134"/>
      </rPr>
      <t xml:space="preserve">防暑降温费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 xml:space="preserve">企业年金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 xml:space="preserve">困难补助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 xml:space="preserve">餐补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>通讯补…</t>
    </r>
  </si>
  <si>
    <t>社保基数排除方案</t>
  </si>
  <si>
    <t>五、制度与民主程序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</si>
  <si>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有无工会</t>
    </r>
    <r>
      <rPr>
        <b/>
        <sz val="9"/>
        <color rgb="FF378ADD"/>
        <rFont val="微软雅黑"/>
        <charset val="1"/>
      </rPr>
      <t>}</t>
    </r>
  </si>
  <si>
    <r>
      <rPr>
        <sz val="10"/>
        <color rgb="FF333333"/>
        <rFont val="Noto Sans CJK SC"/>
        <charset val="134"/>
      </rPr>
      <t xml:space="preserve">是否设工会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>职代会</t>
    </r>
  </si>
  <si>
    <t>★ 决定民主程序走哪条路径</t>
  </si>
  <si>
    <t>民主程序文书包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</si>
  <si>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职工代表</t>
    </r>
    <r>
      <rPr>
        <b/>
        <sz val="9"/>
        <color rgb="FF378ADD"/>
        <rFont val="微软雅黑"/>
        <charset val="1"/>
      </rPr>
      <t>}</t>
    </r>
  </si>
  <si>
    <t>职工代表人数与产生方式</t>
  </si>
  <si>
    <r>
      <rPr>
        <sz val="10"/>
        <color rgb="FF333333"/>
        <rFont val="Noto Sans CJK SC"/>
        <charset val="134"/>
      </rPr>
      <t>无工会时</t>
    </r>
    <r>
      <rPr>
        <sz val="10"/>
        <color rgb="FF333333"/>
        <rFont val="微软雅黑"/>
        <charset val="1"/>
      </rPr>
      <t>,</t>
    </r>
    <r>
      <rPr>
        <sz val="10"/>
        <color rgb="FF333333"/>
        <rFont val="Noto Sans CJK SC"/>
        <charset val="134"/>
      </rPr>
      <t>民主程序须靠职工代表大会</t>
    </r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</si>
  <si>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现有制度</t>
    </r>
    <r>
      <rPr>
        <b/>
        <sz val="9"/>
        <color rgb="FF378ADD"/>
        <rFont val="微软雅黑"/>
        <charset val="1"/>
      </rPr>
      <t>}</t>
    </r>
  </si>
  <si>
    <t>现有制度清单</t>
  </si>
  <si>
    <r>
      <rPr>
        <sz val="10"/>
        <color rgb="FF333333"/>
        <rFont val="Noto Sans CJK SC"/>
        <charset val="134"/>
      </rPr>
      <t>有哪些</t>
    </r>
    <r>
      <rPr>
        <sz val="10"/>
        <color rgb="FF333333"/>
        <rFont val="微软雅黑"/>
        <charset val="1"/>
      </rPr>
      <t>?</t>
    </r>
    <r>
      <rPr>
        <sz val="10"/>
        <color rgb="FF333333"/>
        <rFont val="Noto Sans CJK SC"/>
        <charset val="134"/>
      </rPr>
      <t>何时订的</t>
    </r>
    <r>
      <rPr>
        <sz val="10"/>
        <color rgb="FF333333"/>
        <rFont val="微软雅黑"/>
        <charset val="1"/>
      </rPr>
      <t>?</t>
    </r>
    <r>
      <rPr>
        <sz val="10"/>
        <color rgb="FF333333"/>
        <rFont val="Noto Sans CJK SC"/>
        <charset val="134"/>
      </rPr>
      <t>走没走民主程序</t>
    </r>
    <r>
      <rPr>
        <sz val="10"/>
        <color rgb="FF333333"/>
        <rFont val="微软雅黑"/>
        <charset val="1"/>
      </rPr>
      <t>?</t>
    </r>
    <r>
      <rPr>
        <sz val="10"/>
        <color rgb="FF333333"/>
        <rFont val="Noto Sans CJK SC"/>
        <charset val="134"/>
      </rPr>
      <t>公示了吗</t>
    </r>
    <r>
      <rPr>
        <sz val="10"/>
        <color rgb="FF333333"/>
        <rFont val="微软雅黑"/>
        <charset val="1"/>
      </rPr>
      <t>?</t>
    </r>
  </si>
  <si>
    <t>制度合法化改造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</si>
  <si>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制度生效日</t>
    </r>
    <r>
      <rPr>
        <b/>
        <sz val="9"/>
        <color rgb="FF378ADD"/>
        <rFont val="微软雅黑"/>
        <charset val="1"/>
      </rPr>
      <t>}</t>
    </r>
  </si>
  <si>
    <t>新制度拟生效日</t>
  </si>
  <si>
    <t>制度发布公告、签收表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</si>
  <si>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公示方式</t>
    </r>
    <r>
      <rPr>
        <b/>
        <sz val="9"/>
        <color rgb="FF378ADD"/>
        <rFont val="微软雅黑"/>
        <charset val="1"/>
      </rPr>
      <t>}</t>
    </r>
  </si>
  <si>
    <t>公示告知方式</t>
  </si>
  <si>
    <r>
      <rPr>
        <sz val="10"/>
        <color rgb="FF333333"/>
        <rFont val="Noto Sans CJK SC"/>
        <charset val="134"/>
      </rPr>
      <t xml:space="preserve">公告栏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 xml:space="preserve">邮件 </t>
    </r>
    <r>
      <rPr>
        <sz val="10"/>
        <color rgb="FF333333"/>
        <rFont val="微软雅黑"/>
        <charset val="1"/>
      </rPr>
      <t xml:space="preserve">/ OA / </t>
    </r>
    <r>
      <rPr>
        <sz val="10"/>
        <color rgb="FF333333"/>
        <rFont val="Noto Sans CJK SC"/>
        <charset val="134"/>
      </rPr>
      <t>培训</t>
    </r>
    <r>
      <rPr>
        <sz val="10"/>
        <color rgb="FF333333"/>
        <rFont val="微软雅黑"/>
        <charset val="1"/>
      </rPr>
      <t>?</t>
    </r>
    <r>
      <rPr>
        <sz val="10"/>
        <color rgb="FF333333"/>
        <rFont val="Noto Sans CJK SC"/>
        <charset val="134"/>
      </rPr>
      <t>能否留痕</t>
    </r>
    <r>
      <rPr>
        <sz val="10"/>
        <color rgb="FF333333"/>
        <rFont val="微软雅黑"/>
        <charset val="1"/>
      </rPr>
      <t>?</t>
    </r>
  </si>
  <si>
    <t>公示留痕方案</t>
  </si>
  <si>
    <t>六、组织与业务场景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</si>
  <si>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行业</t>
    </r>
    <r>
      <rPr>
        <b/>
        <sz val="9"/>
        <color rgb="FF378ADD"/>
        <rFont val="微软雅黑"/>
        <charset val="1"/>
      </rPr>
      <t>}</t>
    </r>
  </si>
  <si>
    <t>所属行业</t>
  </si>
  <si>
    <t>决定行业模块与职业病风险</t>
  </si>
  <si>
    <t>制度行业模块、职业病方案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</si>
  <si>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部门岗位</t>
    </r>
    <r>
      <rPr>
        <b/>
        <sz val="9"/>
        <color rgb="FF378ADD"/>
        <rFont val="微软雅黑"/>
        <charset val="1"/>
      </rPr>
      <t>}</t>
    </r>
  </si>
  <si>
    <t>部门与岗位清单</t>
  </si>
  <si>
    <t>岗位说明书、涉密岗位清单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</si>
  <si>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职业病岗位</t>
    </r>
    <r>
      <rPr>
        <b/>
        <sz val="9"/>
        <color rgb="FF378ADD"/>
        <rFont val="微软雅黑"/>
        <charset val="1"/>
      </rPr>
      <t>}</t>
    </r>
  </si>
  <si>
    <r>
      <rPr>
        <sz val="10"/>
        <color rgb="FF333333"/>
        <rFont val="Noto Sans CJK SC"/>
        <charset val="134"/>
      </rPr>
      <t xml:space="preserve">是否涉职业病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>特殊作业</t>
    </r>
  </si>
  <si>
    <r>
      <rPr>
        <sz val="10"/>
        <color rgb="FF333333"/>
        <rFont val="Noto Sans CJK SC"/>
        <charset val="134"/>
      </rPr>
      <t xml:space="preserve">粉尘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 xml:space="preserve">噪音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 xml:space="preserve">高温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>化学品</t>
    </r>
    <r>
      <rPr>
        <sz val="10"/>
        <color rgb="FF333333"/>
        <rFont val="微软雅黑"/>
        <charset val="1"/>
      </rPr>
      <t xml:space="preserve">? → L1 </t>
    </r>
    <r>
      <rPr>
        <sz val="10"/>
        <color rgb="FF333333"/>
        <rFont val="Noto Sans CJK SC"/>
        <charset val="134"/>
      </rPr>
      <t>立即处理</t>
    </r>
  </si>
  <si>
    <t>职业病防治方案、体检台账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</si>
  <si>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涉密岗位</t>
    </r>
    <r>
      <rPr>
        <b/>
        <sz val="9"/>
        <color rgb="FF378ADD"/>
        <rFont val="微软雅黑"/>
        <charset val="1"/>
      </rPr>
      <t>}</t>
    </r>
  </si>
  <si>
    <r>
      <rPr>
        <sz val="10"/>
        <color rgb="FF333333"/>
        <rFont val="Noto Sans CJK SC"/>
        <charset val="134"/>
      </rPr>
      <t xml:space="preserve">核心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 xml:space="preserve">涉密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>高管岗位</t>
    </r>
  </si>
  <si>
    <r>
      <rPr>
        <sz val="10"/>
        <color rgb="FF333333"/>
        <rFont val="Noto Sans CJK SC"/>
        <charset val="134"/>
      </rPr>
      <t xml:space="preserve">决定 </t>
    </r>
    <r>
      <rPr>
        <sz val="10"/>
        <color rgb="FF333333"/>
        <rFont val="微软雅黑"/>
        <charset val="1"/>
      </rPr>
      <t xml:space="preserve">L4 </t>
    </r>
    <r>
      <rPr>
        <sz val="10"/>
        <color rgb="FF333333"/>
        <rFont val="Noto Sans CJK SC"/>
        <charset val="134"/>
      </rPr>
      <t>资产保护层是否启动</t>
    </r>
  </si>
  <si>
    <t>保密协议、竞业协议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</si>
  <si>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淡旺季</t>
    </r>
    <r>
      <rPr>
        <b/>
        <sz val="9"/>
        <color rgb="FF378ADD"/>
        <rFont val="微软雅黑"/>
        <charset val="1"/>
      </rPr>
      <t>}</t>
    </r>
  </si>
  <si>
    <t>是否有明显淡旺季</t>
  </si>
  <si>
    <t>影响用工形式与加班安排</t>
  </si>
  <si>
    <t>用工形式方案</t>
  </si>
  <si>
    <t>七、历史与既往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</si>
  <si>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既往争议</t>
    </r>
    <r>
      <rPr>
        <b/>
        <sz val="9"/>
        <color rgb="FF378ADD"/>
        <rFont val="微软雅黑"/>
        <charset val="1"/>
      </rPr>
      <t>}</t>
    </r>
  </si>
  <si>
    <r>
      <rPr>
        <sz val="10"/>
        <color rgb="FF333333"/>
        <rFont val="Noto Sans CJK SC"/>
        <charset val="134"/>
      </rPr>
      <t xml:space="preserve">近三年仲裁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>诉讼</t>
    </r>
  </si>
  <si>
    <t>起数、争议焦点、结果</t>
  </si>
  <si>
    <t>风险预判、整改重点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</si>
  <si>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行政处罚</t>
    </r>
    <r>
      <rPr>
        <b/>
        <sz val="9"/>
        <color rgb="FF378ADD"/>
        <rFont val="微软雅黑"/>
        <charset val="1"/>
      </rPr>
      <t>}</t>
    </r>
  </si>
  <si>
    <r>
      <rPr>
        <sz val="10"/>
        <color rgb="FF333333"/>
        <rFont val="Noto Sans CJK SC"/>
        <charset val="134"/>
      </rPr>
      <t xml:space="preserve">是否被监察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 xml:space="preserve">稽查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>处罚</t>
    </r>
  </si>
  <si>
    <r>
      <rPr>
        <sz val="10"/>
        <color rgb="FF333333"/>
        <rFont val="Noto Sans CJK SC"/>
        <charset val="134"/>
      </rPr>
      <t xml:space="preserve">★ 有 </t>
    </r>
    <r>
      <rPr>
        <sz val="10"/>
        <color rgb="FF333333"/>
        <rFont val="微软雅黑"/>
        <charset val="1"/>
      </rPr>
      <t xml:space="preserve">= </t>
    </r>
    <r>
      <rPr>
        <sz val="10"/>
        <color rgb="FF333333"/>
        <rFont val="Noto Sans CJK SC"/>
        <charset val="134"/>
      </rPr>
      <t>已点火</t>
    </r>
    <r>
      <rPr>
        <sz val="10"/>
        <color rgb="FF333333"/>
        <rFont val="微软雅黑"/>
        <charset val="1"/>
      </rPr>
      <t>,</t>
    </r>
    <r>
      <rPr>
        <sz val="10"/>
        <color rgb="FF333333"/>
        <rFont val="Noto Sans CJK SC"/>
        <charset val="134"/>
      </rPr>
      <t>转风控线优先</t>
    </r>
  </si>
  <si>
    <t>急症判定</t>
  </si>
  <si>
    <r>
      <rPr>
        <b/>
        <sz val="9"/>
        <color rgb="FF378ADD"/>
        <rFont val="微软雅黑"/>
        <charset val="1"/>
      </rPr>
      <t>{</t>
    </r>
    <r>
      <rPr>
        <b/>
        <sz val="9"/>
        <color rgb="FF378ADD"/>
        <rFont val="Noto Sans CJK SC"/>
        <charset val="134"/>
      </rPr>
      <t>历史敞口</t>
    </r>
    <r>
      <rPr>
        <b/>
        <sz val="9"/>
        <color rgb="FF378ADD"/>
        <rFont val="微软雅黑"/>
        <charset val="1"/>
      </rPr>
      <t>}</t>
    </r>
  </si>
  <si>
    <t>社保历史欠缴大致规模</t>
  </si>
  <si>
    <r>
      <rPr>
        <sz val="10"/>
        <color rgb="FF333333"/>
        <rFont val="Noto Sans CJK SC"/>
        <charset val="134"/>
      </rPr>
      <t xml:space="preserve">近三年未保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>低基数敞口</t>
    </r>
  </si>
  <si>
    <t>过渡方案、成本测算</t>
  </si>
  <si>
    <r>
      <rPr>
        <b/>
        <sz val="14"/>
        <color rgb="FF0C447C"/>
        <rFont val="Noto Sans CJK SC"/>
        <charset val="134"/>
      </rPr>
      <t xml:space="preserve">十大板块诊断主表 </t>
    </r>
    <r>
      <rPr>
        <b/>
        <sz val="14"/>
        <color rgb="FF0C447C"/>
        <rFont val="微软雅黑"/>
        <charset val="1"/>
      </rPr>
      <t xml:space="preserve">V2 —— </t>
    </r>
    <r>
      <rPr>
        <b/>
        <sz val="14"/>
        <color rgb="FF0C447C"/>
        <rFont val="Noto Sans CJK SC"/>
        <charset val="134"/>
      </rPr>
      <t xml:space="preserve">诊断 </t>
    </r>
    <r>
      <rPr>
        <b/>
        <sz val="14"/>
        <color rgb="FF0C447C"/>
        <rFont val="微软雅黑"/>
        <charset val="1"/>
      </rPr>
      <t xml:space="preserve">+ </t>
    </r>
    <r>
      <rPr>
        <b/>
        <sz val="14"/>
        <color rgb="FF0C447C"/>
        <rFont val="Noto Sans CJK SC"/>
        <charset val="134"/>
      </rPr>
      <t>交付分流 合一</t>
    </r>
  </si>
  <si>
    <r>
      <rPr>
        <b/>
        <sz val="9"/>
        <color rgb="FF378ADD"/>
        <rFont val="Noto Sans CJK SC"/>
        <charset val="134"/>
      </rPr>
      <t xml:space="preserve">填完 </t>
    </r>
    <r>
      <rPr>
        <b/>
        <sz val="9"/>
        <color rgb="FF378ADD"/>
        <rFont val="微软雅黑"/>
        <charset val="1"/>
      </rPr>
      <t xml:space="preserve">K </t>
    </r>
    <r>
      <rPr>
        <b/>
        <sz val="9"/>
        <color rgb="FF378ADD"/>
        <rFont val="Noto Sans CJK SC"/>
        <charset val="134"/>
      </rPr>
      <t xml:space="preserve">列「现状判定」→ </t>
    </r>
    <r>
      <rPr>
        <b/>
        <sz val="9"/>
        <color rgb="FF378ADD"/>
        <rFont val="微软雅黑"/>
        <charset val="1"/>
      </rPr>
      <t xml:space="preserve">L/M/N/O </t>
    </r>
    <r>
      <rPr>
        <b/>
        <sz val="9"/>
        <color rgb="FF378ADD"/>
        <rFont val="Noto Sans CJK SC"/>
        <charset val="134"/>
      </rPr>
      <t>列直接告诉你</t>
    </r>
    <r>
      <rPr>
        <b/>
        <sz val="9"/>
        <color rgb="FF378ADD"/>
        <rFont val="微软雅黑"/>
        <charset val="1"/>
      </rPr>
      <t>:</t>
    </r>
    <r>
      <rPr>
        <b/>
        <sz val="9"/>
        <color rgb="FF378ADD"/>
        <rFont val="Noto Sans CJK SC"/>
        <charset val="134"/>
      </rPr>
      <t>这项该交付什么、属哪一层、排第几期。判定为「合规」的行可忽略后四列。</t>
    </r>
  </si>
  <si>
    <t>序号</t>
  </si>
  <si>
    <t>板块</t>
  </si>
  <si>
    <t>管控要点</t>
  </si>
  <si>
    <t>维度</t>
  </si>
  <si>
    <t>法规依据</t>
  </si>
  <si>
    <r>
      <rPr>
        <b/>
        <sz val="10"/>
        <color rgb="FFFFFFFF"/>
        <rFont val="Noto Sans CJK SC"/>
        <charset val="134"/>
      </rPr>
      <t>合规规范要求</t>
    </r>
    <r>
      <rPr>
        <b/>
        <sz val="10"/>
        <color rgb="FFFFFFFF"/>
        <rFont val="微软雅黑"/>
        <charset val="1"/>
      </rPr>
      <t>(</t>
    </r>
    <r>
      <rPr>
        <b/>
        <sz val="10"/>
        <color rgb="FFFFFFFF"/>
        <rFont val="Noto Sans CJK SC"/>
        <charset val="134"/>
      </rPr>
      <t>应然</t>
    </r>
    <r>
      <rPr>
        <b/>
        <sz val="10"/>
        <color rgb="FFFFFFFF"/>
        <rFont val="微软雅黑"/>
        <charset val="1"/>
      </rPr>
      <t>)</t>
    </r>
  </si>
  <si>
    <t>常见风险点</t>
  </si>
  <si>
    <r>
      <rPr>
        <b/>
        <sz val="10"/>
        <color rgb="FFFFFFFF"/>
        <rFont val="Noto Sans CJK SC"/>
        <charset val="134"/>
      </rPr>
      <t>诊断</t>
    </r>
    <r>
      <rPr>
        <b/>
        <sz val="10"/>
        <color rgb="FFFFFFFF"/>
        <rFont val="微软雅黑"/>
        <charset val="1"/>
      </rPr>
      <t>/</t>
    </r>
    <r>
      <rPr>
        <b/>
        <sz val="10"/>
        <color rgb="FFFFFFFF"/>
        <rFont val="Noto Sans CJK SC"/>
        <charset val="134"/>
      </rPr>
      <t>核查问题</t>
    </r>
    <r>
      <rPr>
        <b/>
        <sz val="10"/>
        <color rgb="FFFFFFFF"/>
        <rFont val="微软雅黑"/>
        <charset val="1"/>
      </rPr>
      <t>(</t>
    </r>
    <r>
      <rPr>
        <b/>
        <sz val="10"/>
        <color rgb="FFFFFFFF"/>
        <rFont val="Noto Sans CJK SC"/>
        <charset val="134"/>
      </rPr>
      <t>现场</t>
    </r>
    <r>
      <rPr>
        <b/>
        <sz val="10"/>
        <color rgb="FFFFFFFF"/>
        <rFont val="微软雅黑"/>
        <charset val="1"/>
      </rPr>
      <t>)</t>
    </r>
  </si>
  <si>
    <t>现状记录</t>
  </si>
  <si>
    <t>固有风险</t>
  </si>
  <si>
    <t>现状判定</t>
  </si>
  <si>
    <t>【风控】分流</t>
  </si>
  <si>
    <t>【风控】交付物</t>
  </si>
  <si>
    <t>【合规】层级</t>
  </si>
  <si>
    <t>【合规】建议期次</t>
  </si>
  <si>
    <r>
      <rPr>
        <b/>
        <sz val="10"/>
        <color rgb="FFFFFFFF"/>
        <rFont val="Noto Sans CJK SC"/>
        <charset val="134"/>
      </rPr>
      <t>备注</t>
    </r>
    <r>
      <rPr>
        <b/>
        <sz val="10"/>
        <color rgb="FFFFFFFF"/>
        <rFont val="微软雅黑"/>
        <charset val="1"/>
      </rPr>
      <t>/</t>
    </r>
    <r>
      <rPr>
        <b/>
        <sz val="10"/>
        <color rgb="FFFFFFFF"/>
        <rFont val="Noto Sans CJK SC"/>
        <charset val="134"/>
      </rPr>
      <t>提示</t>
    </r>
  </si>
  <si>
    <t>★数</t>
  </si>
  <si>
    <r>
      <rPr>
        <b/>
        <sz val="10"/>
        <color rgb="FF0C447C"/>
        <rFont val="Noto Sans CJK SC"/>
        <charset val="134"/>
      </rPr>
      <t>　①招聘入职管控　（</t>
    </r>
    <r>
      <rPr>
        <b/>
        <sz val="10"/>
        <color rgb="FF0C447C"/>
        <rFont val="微软雅黑"/>
        <charset val="1"/>
      </rPr>
      <t xml:space="preserve">13 </t>
    </r>
    <r>
      <rPr>
        <b/>
        <sz val="10"/>
        <color rgb="FF0C447C"/>
        <rFont val="Noto Sans CJK SC"/>
        <charset val="134"/>
      </rPr>
      <t>项）</t>
    </r>
  </si>
  <si>
    <t>①招聘入职管控</t>
  </si>
  <si>
    <t>招聘信息合规</t>
  </si>
  <si>
    <r>
      <rPr>
        <sz val="9"/>
        <color rgb="FF333333"/>
        <rFont val="Noto Sans CJK SC"/>
        <charset val="134"/>
      </rPr>
      <t>法</t>
    </r>
    <r>
      <rPr>
        <sz val="9"/>
        <color rgb="FF333333"/>
        <rFont val="微软雅黑"/>
        <charset val="1"/>
      </rPr>
      <t>·</t>
    </r>
    <r>
      <rPr>
        <sz val="9"/>
        <color rgb="FF333333"/>
        <rFont val="Noto Sans CJK SC"/>
        <charset val="134"/>
      </rPr>
      <t>管</t>
    </r>
  </si>
  <si>
    <r>
      <rPr>
        <sz val="9"/>
        <color rgb="FF333333"/>
        <rFont val="Noto Sans CJK SC"/>
        <charset val="134"/>
      </rPr>
      <t>《就业促进法》第</t>
    </r>
    <r>
      <rPr>
        <sz val="9"/>
        <color rgb="FF333333"/>
        <rFont val="微软雅黑"/>
        <charset val="1"/>
      </rPr>
      <t>3/26</t>
    </r>
    <r>
      <rPr>
        <sz val="9"/>
        <color rgb="FF333333"/>
        <rFont val="Noto Sans CJK SC"/>
        <charset val="134"/>
      </rPr>
      <t>条；《关于规范招聘行为促进妇女就业的通知》</t>
    </r>
  </si>
  <si>
    <t>招聘信息不得含性别、民族、年龄、户籍、婚育等歧视性条件</t>
  </si>
  <si>
    <r>
      <rPr>
        <sz val="9"/>
        <color rgb="FF333333"/>
        <rFont val="Noto Sans CJK SC"/>
        <charset val="134"/>
      </rPr>
      <t>广告含歧视性表述，遭投诉，面临</t>
    </r>
    <r>
      <rPr>
        <sz val="9"/>
        <color rgb="FF333333"/>
        <rFont val="微软雅黑"/>
        <charset val="1"/>
      </rPr>
      <t>1</t>
    </r>
    <r>
      <rPr>
        <sz val="9"/>
        <color rgb="FF333333"/>
        <rFont val="Noto Sans CJK SC"/>
        <charset val="134"/>
      </rPr>
      <t>万</t>
    </r>
    <r>
      <rPr>
        <sz val="9"/>
        <color rgb="FF333333"/>
        <rFont val="微软雅黑"/>
        <charset val="1"/>
      </rPr>
      <t>-5</t>
    </r>
    <r>
      <rPr>
        <sz val="9"/>
        <color rgb="FF333333"/>
        <rFont val="Noto Sans CJK SC"/>
        <charset val="134"/>
      </rPr>
      <t>万元罚款及诉讼</t>
    </r>
  </si>
  <si>
    <r>
      <rPr>
        <sz val="9"/>
        <color rgb="FF333333"/>
        <rFont val="Noto Sans CJK SC"/>
        <charset val="134"/>
      </rPr>
      <t>招聘渠道有哪些？广告谁审核？有无性别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年龄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婚育限制？</t>
    </r>
  </si>
  <si>
    <t>★★☆☆☆</t>
  </si>
  <si>
    <t>T</t>
  </si>
  <si>
    <r>
      <rPr>
        <sz val="9"/>
        <color rgb="FF333333"/>
        <rFont val="Noto Sans CJK SC"/>
        <charset val="134"/>
      </rPr>
      <t>招聘信息模板</t>
    </r>
    <r>
      <rPr>
        <sz val="9"/>
        <color rgb="FF333333"/>
        <rFont val="微软雅黑"/>
        <charset val="1"/>
      </rPr>
      <t>(</t>
    </r>
    <r>
      <rPr>
        <sz val="9"/>
        <color rgb="FF333333"/>
        <rFont val="Noto Sans CJK SC"/>
        <charset val="134"/>
      </rPr>
      <t>删歧视表述</t>
    </r>
    <r>
      <rPr>
        <sz val="9"/>
        <color rgb="FF333333"/>
        <rFont val="微软雅黑"/>
        <charset val="1"/>
      </rPr>
      <t>)</t>
    </r>
  </si>
  <si>
    <r>
      <rPr>
        <sz val="9"/>
        <color rgb="FF333333"/>
        <rFont val="微软雅黑"/>
        <charset val="1"/>
      </rPr>
      <t xml:space="preserve">L0 </t>
    </r>
    <r>
      <rPr>
        <sz val="9"/>
        <color rgb="FF333333"/>
        <rFont val="Noto Sans CJK SC"/>
        <charset val="134"/>
      </rPr>
      <t>事件型</t>
    </r>
  </si>
  <si>
    <r>
      <rPr>
        <sz val="9"/>
        <color rgb="FF333333"/>
        <rFont val="Noto Sans CJK SC"/>
        <charset val="134"/>
      </rPr>
      <t>备用</t>
    </r>
    <r>
      <rPr>
        <sz val="9"/>
        <color rgb="FF333333"/>
        <rFont val="微软雅黑"/>
        <charset val="1"/>
      </rPr>
      <t>·</t>
    </r>
    <r>
      <rPr>
        <sz val="9"/>
        <color rgb="FF333333"/>
        <rFont val="Noto Sans CJK SC"/>
        <charset val="134"/>
      </rPr>
      <t>用到再补</t>
    </r>
  </si>
  <si>
    <t>录用条件书面化</t>
  </si>
  <si>
    <r>
      <rPr>
        <sz val="9"/>
        <color rgb="FF333333"/>
        <rFont val="Noto Sans CJK SC"/>
        <charset val="134"/>
      </rPr>
      <t>法</t>
    </r>
    <r>
      <rPr>
        <sz val="9"/>
        <color rgb="FF333333"/>
        <rFont val="微软雅黑"/>
        <charset val="1"/>
      </rPr>
      <t>·</t>
    </r>
    <r>
      <rPr>
        <sz val="9"/>
        <color rgb="FF333333"/>
        <rFont val="Noto Sans CJK SC"/>
        <charset val="134"/>
      </rPr>
      <t>人</t>
    </r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</si>
  <si>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39</t>
    </r>
    <r>
      <rPr>
        <sz val="9"/>
        <color rgb="FF333333"/>
        <rFont val="Noto Sans CJK SC"/>
        <charset val="134"/>
      </rPr>
      <t>条、第</t>
    </r>
    <r>
      <rPr>
        <sz val="9"/>
        <color rgb="FF333333"/>
        <rFont val="微软雅黑"/>
        <charset val="1"/>
      </rPr>
      <t>21</t>
    </r>
    <r>
      <rPr>
        <sz val="9"/>
        <color rgb="FF333333"/>
        <rFont val="Noto Sans CJK SC"/>
        <charset val="134"/>
      </rPr>
      <t>条</t>
    </r>
  </si>
  <si>
    <t>录用条件应事前书面明确并经员工确认，作为试用期解除依据</t>
  </si>
  <si>
    <t>录用条件不明，试用期「不符合录用条件」无法举证解除</t>
  </si>
  <si>
    <t>有无书面录用条件并让员工签字确认？试用期如何考核？</t>
  </si>
  <si>
    <t>★★★★☆</t>
  </si>
  <si>
    <t>录用条件确认书</t>
  </si>
  <si>
    <r>
      <rPr>
        <sz val="9"/>
        <color rgb="FF333333"/>
        <rFont val="微软雅黑"/>
        <charset val="1"/>
      </rPr>
      <t xml:space="preserve">L2 </t>
    </r>
    <r>
      <rPr>
        <sz val="9"/>
        <color rgb="FF333333"/>
        <rFont val="Noto Sans CJK SC"/>
        <charset val="134"/>
      </rPr>
      <t>证据能力</t>
    </r>
  </si>
  <si>
    <r>
      <rPr>
        <sz val="9"/>
        <color rgb="FF333333"/>
        <rFont val="Noto Sans CJK SC"/>
        <charset val="134"/>
      </rPr>
      <t>一期</t>
    </r>
    <r>
      <rPr>
        <sz val="9"/>
        <color rgb="FF333333"/>
        <rFont val="微软雅黑"/>
        <charset val="1"/>
      </rPr>
      <t>·</t>
    </r>
    <r>
      <rPr>
        <sz val="9"/>
        <color rgb="FF333333"/>
        <rFont val="Noto Sans CJK SC"/>
        <charset val="134"/>
      </rPr>
      <t>证据</t>
    </r>
  </si>
  <si>
    <t>试用期解除的举证基础</t>
  </si>
  <si>
    <t>录用通知书</t>
  </si>
  <si>
    <r>
      <rPr>
        <sz val="9"/>
        <color rgb="FF333333"/>
        <rFont val="Noto Sans CJK SC"/>
        <charset val="134"/>
      </rPr>
      <t>法</t>
    </r>
    <r>
      <rPr>
        <sz val="9"/>
        <color rgb="FF333333"/>
        <rFont val="微软雅黑"/>
        <charset val="1"/>
      </rPr>
      <t>·</t>
    </r>
    <r>
      <rPr>
        <sz val="9"/>
        <color rgb="FF333333"/>
        <rFont val="Noto Sans CJK SC"/>
        <charset val="134"/>
      </rPr>
      <t>业</t>
    </r>
  </si>
  <si>
    <t>《劳动合同法》；《民法典》缔约过失责任</t>
  </si>
  <si>
    <r>
      <rPr>
        <sz val="9"/>
        <color rgb="FF333333"/>
        <rFont val="微软雅黑"/>
        <charset val="1"/>
      </rPr>
      <t>offer</t>
    </r>
    <r>
      <rPr>
        <sz val="9"/>
        <color rgb="FF333333"/>
        <rFont val="Noto Sans CJK SC"/>
        <charset val="134"/>
      </rPr>
      <t>应设单方撤回条件，薪资岗位不宜写死、与合同一致</t>
    </r>
  </si>
  <si>
    <r>
      <rPr>
        <sz val="9"/>
        <color rgb="FF333333"/>
        <rFont val="微软雅黑"/>
        <charset val="1"/>
      </rPr>
      <t>offer</t>
    </r>
    <r>
      <rPr>
        <sz val="9"/>
        <color rgb="FF333333"/>
        <rFont val="Noto Sans CJK SC"/>
        <charset val="134"/>
      </rPr>
      <t>发出后撤回构成缔约过失；</t>
    </r>
    <r>
      <rPr>
        <sz val="9"/>
        <color rgb="FF333333"/>
        <rFont val="微软雅黑"/>
        <charset val="1"/>
      </rPr>
      <t>offer</t>
    </r>
    <r>
      <rPr>
        <sz val="9"/>
        <color rgb="FF333333"/>
        <rFont val="Noto Sans CJK SC"/>
        <charset val="134"/>
      </rPr>
      <t>与合同条款冲突</t>
    </r>
  </si>
  <si>
    <t>发录用通知书吗？写了哪些内容？能否撤回？</t>
  </si>
  <si>
    <t>★★★☆☆</t>
  </si>
  <si>
    <r>
      <rPr>
        <sz val="9"/>
        <color rgb="FF333333"/>
        <rFont val="Noto Sans CJK SC"/>
        <charset val="134"/>
      </rPr>
      <t>录用通知书模板</t>
    </r>
    <r>
      <rPr>
        <sz val="9"/>
        <color rgb="FF333333"/>
        <rFont val="微软雅黑"/>
        <charset val="1"/>
      </rPr>
      <t>(</t>
    </r>
    <r>
      <rPr>
        <sz val="9"/>
        <color rgb="FF333333"/>
        <rFont val="Noto Sans CJK SC"/>
        <charset val="134"/>
      </rPr>
      <t>设撤回条款</t>
    </r>
    <r>
      <rPr>
        <sz val="9"/>
        <color rgb="FF333333"/>
        <rFont val="微软雅黑"/>
        <charset val="1"/>
      </rPr>
      <t>)</t>
    </r>
  </si>
  <si>
    <t>如实告知与入职登记</t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</si>
  <si>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8</t>
    </r>
    <r>
      <rPr>
        <sz val="9"/>
        <color rgb="FF333333"/>
        <rFont val="Noto Sans CJK SC"/>
        <charset val="134"/>
      </rPr>
      <t>条、第</t>
    </r>
    <r>
      <rPr>
        <sz val="9"/>
        <color rgb="FF333333"/>
        <rFont val="微软雅黑"/>
        <charset val="1"/>
      </rPr>
      <t>26</t>
    </r>
    <r>
      <rPr>
        <sz val="9"/>
        <color rgb="FF333333"/>
        <rFont val="Noto Sans CJK SC"/>
        <charset val="134"/>
      </rPr>
      <t>条</t>
    </r>
  </si>
  <si>
    <t>员工负如实说明义务；企业建立花名册并留存登记</t>
  </si>
  <si>
    <r>
      <rPr>
        <sz val="9"/>
        <color rgb="FF333333"/>
        <rFont val="Noto Sans CJK SC"/>
        <charset val="134"/>
      </rPr>
      <t>简历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资历造假却无「如实告知」条款，难以据此解除</t>
    </r>
  </si>
  <si>
    <t>入职填登记表吗？有无如实告知条款与签字？核验真实性吗？</t>
  </si>
  <si>
    <r>
      <rPr>
        <sz val="9"/>
        <color rgb="FF333333"/>
        <rFont val="Noto Sans CJK SC"/>
        <charset val="134"/>
      </rPr>
      <t xml:space="preserve">入职申请表 </t>
    </r>
    <r>
      <rPr>
        <sz val="9"/>
        <color rgb="FF333333"/>
        <rFont val="微软雅黑"/>
        <charset val="1"/>
      </rPr>
      <t xml:space="preserve">/ </t>
    </r>
    <r>
      <rPr>
        <sz val="9"/>
        <color rgb="FF333333"/>
        <rFont val="Noto Sans CJK SC"/>
        <charset val="134"/>
      </rPr>
      <t>如实告知书</t>
    </r>
  </si>
  <si>
    <t>离职证明核验</t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</si>
  <si>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91</t>
    </r>
    <r>
      <rPr>
        <sz val="9"/>
        <color rgb="FF333333"/>
        <rFont val="Noto Sans CJK SC"/>
        <charset val="134"/>
      </rPr>
      <t>条</t>
    </r>
  </si>
  <si>
    <t>录用应核验前单位离职证明，避免招用未解除劳动关系者</t>
  </si>
  <si>
    <t>未收离职证明，与原单位形成双重用工，承担连带赔偿</t>
  </si>
  <si>
    <t>要求提供离职证明吗？没有的怎么处理？</t>
  </si>
  <si>
    <t>无离职证明承诺书</t>
  </si>
  <si>
    <t>背景调查授权</t>
  </si>
  <si>
    <t>《个人信息保护法》</t>
  </si>
  <si>
    <t>背调须经书面授权并限定范围，第三方机构签保密协议</t>
  </si>
  <si>
    <r>
      <rPr>
        <sz val="9"/>
        <color rgb="FF333333"/>
        <rFont val="Noto Sans CJK SC"/>
        <charset val="134"/>
      </rPr>
      <t>未授权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超范围背调侵犯个人信息；信息泄露担责</t>
    </r>
  </si>
  <si>
    <t>重要岗位做背调吗？有书面授权吗？谁来做？</t>
  </si>
  <si>
    <t>★★★★★</t>
  </si>
  <si>
    <t>背景调查授权书</t>
  </si>
  <si>
    <r>
      <rPr>
        <sz val="9"/>
        <color rgb="FF333333"/>
        <rFont val="Noto Sans CJK SC"/>
        <charset val="134"/>
      </rPr>
      <t>入职体检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健康证</t>
    </r>
  </si>
  <si>
    <r>
      <rPr>
        <sz val="9"/>
        <color rgb="FF333333"/>
        <rFont val="Noto Sans CJK SC"/>
        <charset val="134"/>
      </rPr>
      <t>业</t>
    </r>
    <r>
      <rPr>
        <sz val="9"/>
        <color rgb="FF333333"/>
        <rFont val="微软雅黑"/>
        <charset val="1"/>
      </rPr>
      <t>·</t>
    </r>
    <r>
      <rPr>
        <sz val="9"/>
        <color rgb="FF333333"/>
        <rFont val="Noto Sans CJK SC"/>
        <charset val="134"/>
      </rPr>
      <t>人</t>
    </r>
  </si>
  <si>
    <t>《职业病防治法》；《食品安全法》</t>
  </si>
  <si>
    <r>
      <rPr>
        <sz val="9"/>
        <color rgb="FF333333"/>
        <rFont val="Noto Sans CJK SC"/>
        <charset val="134"/>
      </rPr>
      <t>涉职业病岗位岗前体检；食品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特定岗位办健康证</t>
    </r>
  </si>
  <si>
    <r>
      <rPr>
        <sz val="9"/>
        <color rgb="FF333333"/>
        <rFont val="Noto Sans CJK SC"/>
        <charset val="134"/>
      </rPr>
      <t>带病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带伤入职后主张职业病、工伤；无健康证行政处罚</t>
    </r>
  </si>
  <si>
    <r>
      <rPr>
        <sz val="9"/>
        <color rgb="FF333333"/>
        <rFont val="Noto Sans CJK SC"/>
        <charset val="134"/>
      </rPr>
      <t>入职做体检吗？涉职业病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餐饮岗位有健康证吗？</t>
    </r>
  </si>
  <si>
    <t>P</t>
  </si>
  <si>
    <r>
      <rPr>
        <sz val="9"/>
        <color rgb="FF333333"/>
        <rFont val="Noto Sans CJK SC"/>
        <charset val="134"/>
      </rPr>
      <t xml:space="preserve">体检告知书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健康证台账</t>
    </r>
  </si>
  <si>
    <r>
      <rPr>
        <sz val="9"/>
        <color rgb="FF333333"/>
        <rFont val="Noto Sans CJK SC"/>
        <charset val="134"/>
      </rPr>
      <t xml:space="preserve">涉职业病岗位→并入 </t>
    </r>
    <r>
      <rPr>
        <sz val="9"/>
        <color rgb="FF333333"/>
        <rFont val="微软雅黑"/>
        <charset val="1"/>
      </rPr>
      <t xml:space="preserve">L1 </t>
    </r>
    <r>
      <rPr>
        <sz val="9"/>
        <color rgb="FF333333"/>
        <rFont val="Noto Sans CJK SC"/>
        <charset val="134"/>
      </rPr>
      <t>工伤</t>
    </r>
  </si>
  <si>
    <t>三期女职工识别</t>
  </si>
  <si>
    <t>《妇女权益保障法》；《女职工劳动保护特别规定》</t>
  </si>
  <si>
    <t>不得因婚育拒录或解除，合规处理三期员工</t>
  </si>
  <si>
    <t>已孕女职工入职后才知情，三期保护下进退两难</t>
  </si>
  <si>
    <r>
      <rPr>
        <sz val="9"/>
        <color rgb="FF333333"/>
        <rFont val="Noto Sans CJK SC"/>
        <charset val="134"/>
      </rPr>
      <t>入职是否了解婚育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三期情况？如何合规处理？</t>
    </r>
  </si>
  <si>
    <t>入职合规告知</t>
  </si>
  <si>
    <t>用工主体一致性</t>
  </si>
  <si>
    <r>
      <rPr>
        <sz val="9"/>
        <color rgb="FF333333"/>
        <rFont val="Noto Sans CJK SC"/>
        <charset val="134"/>
      </rPr>
      <t>业</t>
    </r>
    <r>
      <rPr>
        <sz val="9"/>
        <color rgb="FF333333"/>
        <rFont val="微软雅黑"/>
        <charset val="1"/>
      </rPr>
      <t>·</t>
    </r>
    <r>
      <rPr>
        <sz val="9"/>
        <color rgb="FF333333"/>
        <rFont val="Noto Sans CJK SC"/>
        <charset val="134"/>
      </rPr>
      <t>税</t>
    </r>
    <r>
      <rPr>
        <sz val="9"/>
        <color rgb="FF333333"/>
        <rFont val="微软雅黑"/>
        <charset val="1"/>
      </rPr>
      <t>·</t>
    </r>
    <r>
      <rPr>
        <sz val="9"/>
        <color rgb="FF333333"/>
        <rFont val="Noto Sans CJK SC"/>
        <charset val="134"/>
      </rPr>
      <t>法</t>
    </r>
  </si>
  <si>
    <t>《劳动合同法》</t>
  </si>
  <si>
    <t>招聘、签约、发薪、参保主体保持一致</t>
  </si>
  <si>
    <t>多主体混同用工，关系不清、连带责任、三表不符</t>
  </si>
  <si>
    <t>谁招的？跟谁签合同？谁发薪、谁交社保？</t>
  </si>
  <si>
    <t>S</t>
  </si>
  <si>
    <t>主体架构梳理方案</t>
  </si>
  <si>
    <r>
      <rPr>
        <sz val="9"/>
        <color rgb="FF333333"/>
        <rFont val="微软雅黑"/>
        <charset val="1"/>
      </rPr>
      <t xml:space="preserve">L3 </t>
    </r>
    <r>
      <rPr>
        <sz val="9"/>
        <color rgb="FF333333"/>
        <rFont val="Noto Sans CJK SC"/>
        <charset val="134"/>
      </rPr>
      <t>结构</t>
    </r>
  </si>
  <si>
    <r>
      <rPr>
        <sz val="9"/>
        <color rgb="FF333333"/>
        <rFont val="Noto Sans CJK SC"/>
        <charset val="134"/>
      </rPr>
      <t>二期</t>
    </r>
    <r>
      <rPr>
        <sz val="9"/>
        <color rgb="FF333333"/>
        <rFont val="微软雅黑"/>
        <charset val="1"/>
      </rPr>
      <t>·</t>
    </r>
    <r>
      <rPr>
        <sz val="9"/>
        <color rgb="FF333333"/>
        <rFont val="Noto Sans CJK SC"/>
        <charset val="134"/>
      </rPr>
      <t>结构</t>
    </r>
  </si>
  <si>
    <r>
      <rPr>
        <sz val="9"/>
        <color rgb="FF333333"/>
        <rFont val="Noto Sans CJK SC"/>
        <charset val="134"/>
      </rPr>
      <t>★核心</t>
    </r>
    <r>
      <rPr>
        <sz val="9"/>
        <color rgb="FF333333"/>
        <rFont val="微软雅黑"/>
        <charset val="1"/>
      </rPr>
      <t>:</t>
    </r>
    <r>
      <rPr>
        <sz val="9"/>
        <color rgb="FF333333"/>
        <rFont val="Noto Sans CJK SC"/>
        <charset val="134"/>
      </rPr>
      <t>招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签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发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保是否同一主体</t>
    </r>
  </si>
  <si>
    <t>入职流程归口</t>
  </si>
  <si>
    <r>
      <rPr>
        <sz val="9"/>
        <color rgb="FF333333"/>
        <rFont val="Noto Sans CJK SC"/>
        <charset val="134"/>
      </rPr>
      <t>管</t>
    </r>
    <r>
      <rPr>
        <sz val="9"/>
        <color rgb="FF333333"/>
        <rFont val="微软雅黑"/>
        <charset val="1"/>
      </rPr>
      <t>·</t>
    </r>
    <r>
      <rPr>
        <sz val="9"/>
        <color rgb="FF333333"/>
        <rFont val="Noto Sans CJK SC"/>
        <charset val="134"/>
      </rPr>
      <t>人</t>
    </r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</si>
  <si>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10</t>
    </r>
    <r>
      <rPr>
        <sz val="9"/>
        <color rgb="FF333333"/>
        <rFont val="Noto Sans CJK SC"/>
        <charset val="134"/>
      </rPr>
      <t>条</t>
    </r>
  </si>
  <si>
    <r>
      <rPr>
        <sz val="9"/>
        <color rgb="FF333333"/>
        <rFont val="Noto Sans CJK SC"/>
        <charset val="134"/>
      </rPr>
      <t>入职由</t>
    </r>
    <r>
      <rPr>
        <sz val="9"/>
        <color rgb="FF333333"/>
        <rFont val="微软雅黑"/>
        <charset val="1"/>
      </rPr>
      <t>HR</t>
    </r>
    <r>
      <rPr>
        <sz val="9"/>
        <color rgb="FF333333"/>
        <rFont val="Noto Sans CJK SC"/>
        <charset val="134"/>
      </rPr>
      <t>统一办理、限定时限、全程留痕</t>
    </r>
  </si>
  <si>
    <r>
      <rPr>
        <sz val="9"/>
        <color rgb="FF333333"/>
        <rFont val="Noto Sans CJK SC"/>
        <charset val="134"/>
      </rPr>
      <t>部门私自录用、超</t>
    </r>
    <r>
      <rPr>
        <sz val="9"/>
        <color rgb="FF333333"/>
        <rFont val="微软雅黑"/>
        <charset val="1"/>
      </rPr>
      <t>1</t>
    </r>
    <r>
      <rPr>
        <sz val="9"/>
        <color rgb="FF333333"/>
        <rFont val="Noto Sans CJK SC"/>
        <charset val="134"/>
      </rPr>
      <t>个月才上报，漏签合同、漏缴社保</t>
    </r>
  </si>
  <si>
    <r>
      <rPr>
        <sz val="9"/>
        <color rgb="FF333333"/>
        <rFont val="Noto Sans CJK SC"/>
        <charset val="134"/>
      </rPr>
      <t>入职谁办理？有无超</t>
    </r>
    <r>
      <rPr>
        <sz val="9"/>
        <color rgb="FF333333"/>
        <rFont val="微软雅黑"/>
        <charset val="1"/>
      </rPr>
      <t>1</t>
    </r>
    <r>
      <rPr>
        <sz val="9"/>
        <color rgb="FF333333"/>
        <rFont val="Noto Sans CJK SC"/>
        <charset val="134"/>
      </rPr>
      <t>个月才上报上岗的情况？</t>
    </r>
  </si>
  <si>
    <r>
      <rPr>
        <sz val="9"/>
        <color rgb="FF333333"/>
        <rFont val="Noto Sans CJK SC"/>
        <charset val="134"/>
      </rPr>
      <t>入职办理</t>
    </r>
    <r>
      <rPr>
        <sz val="9"/>
        <color rgb="FF333333"/>
        <rFont val="微软雅黑"/>
        <charset val="1"/>
      </rPr>
      <t xml:space="preserve">SOP + </t>
    </r>
    <r>
      <rPr>
        <sz val="9"/>
        <color rgb="FF333333"/>
        <rFont val="Noto Sans CJK SC"/>
        <charset val="134"/>
      </rPr>
      <t>台账</t>
    </r>
  </si>
  <si>
    <t>个人信息收集合规</t>
  </si>
  <si>
    <r>
      <rPr>
        <sz val="9"/>
        <color rgb="FF333333"/>
        <rFont val="Noto Sans CJK SC"/>
        <charset val="134"/>
      </rPr>
      <t>《个人信息保护法》第</t>
    </r>
    <r>
      <rPr>
        <sz val="9"/>
        <color rgb="FF333333"/>
        <rFont val="微软雅黑"/>
        <charset val="1"/>
      </rPr>
      <t>6/13</t>
    </r>
    <r>
      <rPr>
        <sz val="9"/>
        <color rgb="FF333333"/>
        <rFont val="Noto Sans CJK SC"/>
        <charset val="134"/>
      </rPr>
      <t>条；《劳动合同法》第</t>
    </r>
    <r>
      <rPr>
        <sz val="9"/>
        <color rgb="FF333333"/>
        <rFont val="微软雅黑"/>
        <charset val="1"/>
      </rPr>
      <t>8</t>
    </r>
    <r>
      <rPr>
        <sz val="9"/>
        <color rgb="FF333333"/>
        <rFont val="Noto Sans CJK SC"/>
        <charset val="134"/>
      </rPr>
      <t>条</t>
    </r>
  </si>
  <si>
    <t>入职信息收集遵循最小必要，敏感信息单独告知并取得同意，不超范围</t>
  </si>
  <si>
    <r>
      <rPr>
        <sz val="9"/>
        <color rgb="FF333333"/>
        <rFont val="Noto Sans CJK SC"/>
        <charset val="134"/>
      </rPr>
      <t>违规收集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留存身份证、人脸等敏感信息，被投诉或泄露担责</t>
    </r>
  </si>
  <si>
    <t>入职表收集哪些信息？是否告知用途并取得同意？证件如何留存？</t>
  </si>
  <si>
    <t>信息收集告知同意书</t>
  </si>
  <si>
    <t>资质与证件核验</t>
  </si>
  <si>
    <r>
      <rPr>
        <sz val="9"/>
        <color rgb="FF333333"/>
        <rFont val="Noto Sans CJK SC"/>
        <charset val="134"/>
      </rPr>
      <t>《劳动合同法》；特种作业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从业资格相关规定</t>
    </r>
  </si>
  <si>
    <t>特种作业、专业资格岗位须核验有效证书并留存</t>
  </si>
  <si>
    <t>无证上岗、证书造假，发生事故企业担责、行政处罚</t>
  </si>
  <si>
    <t>哪些岗位需持证？入职是否核验留存？证书是否有效？</t>
  </si>
  <si>
    <r>
      <rPr>
        <sz val="9"/>
        <color rgb="FF333333"/>
        <rFont val="Noto Sans CJK SC"/>
        <charset val="134"/>
      </rPr>
      <t xml:space="preserve">持证上岗清单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核验留痕</t>
    </r>
  </si>
  <si>
    <t>岗前安全与岗位告知</t>
  </si>
  <si>
    <r>
      <rPr>
        <sz val="9"/>
        <color rgb="FF333333"/>
        <rFont val="Noto Sans CJK SC"/>
        <charset val="134"/>
      </rPr>
      <t>《安全生产法》第</t>
    </r>
    <r>
      <rPr>
        <sz val="9"/>
        <color rgb="FF333333"/>
        <rFont val="微软雅黑"/>
        <charset val="1"/>
      </rPr>
      <t>28</t>
    </r>
    <r>
      <rPr>
        <sz val="9"/>
        <color rgb="FF333333"/>
        <rFont val="Noto Sans CJK SC"/>
        <charset val="134"/>
      </rPr>
      <t>条；《职业病防治法》</t>
    </r>
  </si>
  <si>
    <r>
      <rPr>
        <sz val="9"/>
        <color rgb="FF333333"/>
        <rFont val="Noto Sans CJK SC"/>
        <charset val="134"/>
      </rPr>
      <t>上岗前进行安全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职业卫生培训与岗位风险告知并签字</t>
    </r>
  </si>
  <si>
    <r>
      <rPr>
        <sz val="9"/>
        <color rgb="FF333333"/>
        <rFont val="Noto Sans CJK SC"/>
        <charset val="134"/>
      </rPr>
      <t>未培训上岗发生工伤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职业病，企业过错放大赔偿</t>
    </r>
  </si>
  <si>
    <t>新员工上岗前是否做安全教育？有无签字记录？</t>
  </si>
  <si>
    <r>
      <rPr>
        <sz val="9"/>
        <color rgb="FF333333"/>
        <rFont val="Noto Sans CJK SC"/>
        <charset val="134"/>
      </rPr>
      <t xml:space="preserve">三级安全教育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签到表</t>
    </r>
  </si>
  <si>
    <r>
      <rPr>
        <sz val="9"/>
        <color rgb="FF333333"/>
        <rFont val="微软雅黑"/>
        <charset val="1"/>
      </rPr>
      <t xml:space="preserve">L1 </t>
    </r>
    <r>
      <rPr>
        <sz val="9"/>
        <color rgb="FF333333"/>
        <rFont val="Noto Sans CJK SC"/>
        <charset val="134"/>
      </rPr>
      <t>负债型</t>
    </r>
  </si>
  <si>
    <t>★立即</t>
  </si>
  <si>
    <t>工伤第一道防线</t>
  </si>
  <si>
    <r>
      <rPr>
        <b/>
        <sz val="10"/>
        <color rgb="FF0C447C"/>
        <rFont val="Noto Sans CJK SC"/>
        <charset val="134"/>
      </rPr>
      <t>　②劳动关系管控　（</t>
    </r>
    <r>
      <rPr>
        <b/>
        <sz val="10"/>
        <color rgb="FF0C447C"/>
        <rFont val="微软雅黑"/>
        <charset val="1"/>
      </rPr>
      <t xml:space="preserve">28 </t>
    </r>
    <r>
      <rPr>
        <b/>
        <sz val="10"/>
        <color rgb="FF0C447C"/>
        <rFont val="Noto Sans CJK SC"/>
        <charset val="134"/>
      </rPr>
      <t>项）</t>
    </r>
  </si>
  <si>
    <t>②劳动关系管控</t>
  </si>
  <si>
    <t>书面合同及时性</t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</si>
  <si>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10</t>
    </r>
    <r>
      <rPr>
        <sz val="9"/>
        <color rgb="FF333333"/>
        <rFont val="Noto Sans CJK SC"/>
        <charset val="134"/>
      </rPr>
      <t>条、第</t>
    </r>
    <r>
      <rPr>
        <sz val="9"/>
        <color rgb="FF333333"/>
        <rFont val="微软雅黑"/>
        <charset val="1"/>
      </rPr>
      <t>82</t>
    </r>
    <r>
      <rPr>
        <sz val="9"/>
        <color rgb="FF333333"/>
        <rFont val="Noto Sans CJK SC"/>
        <charset val="134"/>
      </rPr>
      <t>条</t>
    </r>
  </si>
  <si>
    <r>
      <rPr>
        <sz val="9"/>
        <color rgb="FF333333"/>
        <rFont val="Noto Sans CJK SC"/>
        <charset val="134"/>
      </rPr>
      <t>用工之日起</t>
    </r>
    <r>
      <rPr>
        <sz val="9"/>
        <color rgb="FF333333"/>
        <rFont val="微软雅黑"/>
        <charset val="1"/>
      </rPr>
      <t>1</t>
    </r>
    <r>
      <rPr>
        <sz val="9"/>
        <color rgb="FF333333"/>
        <rFont val="Noto Sans CJK SC"/>
        <charset val="134"/>
      </rPr>
      <t>个月内订立书面劳动合同</t>
    </r>
  </si>
  <si>
    <r>
      <rPr>
        <sz val="9"/>
        <color rgb="FF333333"/>
        <rFont val="Noto Sans CJK SC"/>
        <charset val="134"/>
      </rPr>
      <t>满</t>
    </r>
    <r>
      <rPr>
        <sz val="9"/>
        <color rgb="FF333333"/>
        <rFont val="微软雅黑"/>
        <charset val="1"/>
      </rPr>
      <t>1</t>
    </r>
    <r>
      <rPr>
        <sz val="9"/>
        <color rgb="FF333333"/>
        <rFont val="Noto Sans CJK SC"/>
        <charset val="134"/>
      </rPr>
      <t>个月未签→每月二倍工资（最长</t>
    </r>
    <r>
      <rPr>
        <sz val="9"/>
        <color rgb="FF333333"/>
        <rFont val="微软雅黑"/>
        <charset val="1"/>
      </rPr>
      <t>11</t>
    </r>
    <r>
      <rPr>
        <sz val="9"/>
        <color rgb="FF333333"/>
        <rFont val="Noto Sans CJK SC"/>
        <charset val="134"/>
      </rPr>
      <t>个月）；满</t>
    </r>
    <r>
      <rPr>
        <sz val="9"/>
        <color rgb="FF333333"/>
        <rFont val="微软雅黑"/>
        <charset val="1"/>
      </rPr>
      <t>1</t>
    </r>
    <r>
      <rPr>
        <sz val="9"/>
        <color rgb="FF333333"/>
        <rFont val="Noto Sans CJK SC"/>
        <charset val="134"/>
      </rPr>
      <t>年视为无固定期限</t>
    </r>
  </si>
  <si>
    <r>
      <rPr>
        <sz val="9"/>
        <color rgb="FF333333"/>
        <rFont val="Noto Sans CJK SC"/>
        <charset val="134"/>
      </rPr>
      <t>全员都签合同了吗？入职多久签？有无超</t>
    </r>
    <r>
      <rPr>
        <sz val="9"/>
        <color rgb="FF333333"/>
        <rFont val="微软雅黑"/>
        <charset val="1"/>
      </rPr>
      <t>1</t>
    </r>
    <r>
      <rPr>
        <sz val="9"/>
        <color rgb="FF333333"/>
        <rFont val="Noto Sans CJK SC"/>
        <charset val="134"/>
      </rPr>
      <t>年未签的？</t>
    </r>
  </si>
  <si>
    <r>
      <rPr>
        <sz val="9"/>
        <color rgb="FF333333"/>
        <rFont val="Noto Sans CJK SC"/>
        <charset val="134"/>
      </rPr>
      <t xml:space="preserve">入职即签流程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签订台账</t>
    </r>
  </si>
  <si>
    <r>
      <rPr>
        <sz val="9"/>
        <color rgb="FF333333"/>
        <rFont val="Noto Sans CJK SC"/>
        <charset val="134"/>
      </rPr>
      <t>未签每天长双倍工资</t>
    </r>
    <r>
      <rPr>
        <sz val="9"/>
        <color rgb="FF333333"/>
        <rFont val="微软雅黑"/>
        <charset val="1"/>
      </rPr>
      <t>;</t>
    </r>
    <r>
      <rPr>
        <sz val="9"/>
        <color rgb="FF333333"/>
        <rFont val="Noto Sans CJK SC"/>
        <charset val="134"/>
      </rPr>
      <t xml:space="preserve">存量未签→转 </t>
    </r>
    <r>
      <rPr>
        <sz val="9"/>
        <color rgb="FF333333"/>
        <rFont val="微软雅黑"/>
        <charset val="1"/>
      </rPr>
      <t xml:space="preserve">S </t>
    </r>
    <r>
      <rPr>
        <sz val="9"/>
        <color rgb="FF333333"/>
        <rFont val="Noto Sans CJK SC"/>
        <charset val="134"/>
      </rPr>
      <t>个案</t>
    </r>
  </si>
  <si>
    <t>合同版本与必备条款</t>
  </si>
  <si>
    <t>法</t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</si>
  <si>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17</t>
    </r>
    <r>
      <rPr>
        <sz val="9"/>
        <color rgb="FF333333"/>
        <rFont val="Noto Sans CJK SC"/>
        <charset val="134"/>
      </rPr>
      <t>条</t>
    </r>
  </si>
  <si>
    <t>合同含必备条款：期限、岗位、地点、工时、报酬、社保等</t>
  </si>
  <si>
    <r>
      <rPr>
        <sz val="9"/>
        <color rgb="FF333333"/>
        <rFont val="Noto Sans CJK SC"/>
        <charset val="134"/>
      </rPr>
      <t>用人社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网络模板，缺必备条款或含违法条款</t>
    </r>
  </si>
  <si>
    <r>
      <rPr>
        <sz val="9"/>
        <color rgb="FF333333"/>
        <rFont val="Noto Sans CJK SC"/>
        <charset val="134"/>
      </rPr>
      <t>合同用什么版本？人社模板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律师审核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网上下载？</t>
    </r>
  </si>
  <si>
    <t>合规劳动合同模板</t>
  </si>
  <si>
    <t>工作地点与岗位约定</t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</si>
  <si>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17/35</t>
    </r>
    <r>
      <rPr>
        <sz val="9"/>
        <color rgb="FF333333"/>
        <rFont val="Noto Sans CJK SC"/>
        <charset val="134"/>
      </rPr>
      <t>条</t>
    </r>
  </si>
  <si>
    <t>合理约定工作地点与岗位，预留调整空间</t>
  </si>
  <si>
    <t>约定过死无法调岗调地点；约定过宽被认定不明</t>
  </si>
  <si>
    <t>合同里工作地点、岗位怎么写的？能否调整？</t>
  </si>
  <si>
    <r>
      <rPr>
        <sz val="9"/>
        <color rgb="FF333333"/>
        <rFont val="Noto Sans CJK SC"/>
        <charset val="134"/>
      </rPr>
      <t>弹性地点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岗位条款</t>
    </r>
  </si>
  <si>
    <t>工时制度约定</t>
  </si>
  <si>
    <r>
      <rPr>
        <sz val="9"/>
        <color rgb="FF333333"/>
        <rFont val="Noto Sans CJK SC"/>
        <charset val="134"/>
      </rPr>
      <t>《劳动合同法》；《劳动法》第</t>
    </r>
    <r>
      <rPr>
        <sz val="9"/>
        <color rgb="FF333333"/>
        <rFont val="微软雅黑"/>
        <charset val="1"/>
      </rPr>
      <t>36-39</t>
    </r>
    <r>
      <rPr>
        <sz val="9"/>
        <color rgb="FF333333"/>
        <rFont val="Noto Sans CJK SC"/>
        <charset val="134"/>
      </rPr>
      <t>条</t>
    </r>
  </si>
  <si>
    <t>明确工时制度；特殊工时须经审批</t>
  </si>
  <si>
    <r>
      <rPr>
        <sz val="9"/>
        <color rgb="FF333333"/>
        <rFont val="Noto Sans CJK SC"/>
        <charset val="134"/>
      </rPr>
      <t>约定单休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六天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对企业不利条款，加班费风险</t>
    </r>
  </si>
  <si>
    <t>合同约定的工时？有无单休、对企业不利的条款？</t>
  </si>
  <si>
    <t>工时条款</t>
  </si>
  <si>
    <r>
      <rPr>
        <sz val="9"/>
        <color rgb="FF333333"/>
        <rFont val="Noto Sans CJK SC"/>
        <charset val="134"/>
      </rPr>
      <t>三期</t>
    </r>
    <r>
      <rPr>
        <sz val="9"/>
        <color rgb="FF333333"/>
        <rFont val="微软雅黑"/>
        <charset val="1"/>
      </rPr>
      <t>·</t>
    </r>
    <r>
      <rPr>
        <sz val="9"/>
        <color rgb="FF333333"/>
        <rFont val="Noto Sans CJK SC"/>
        <charset val="134"/>
      </rPr>
      <t>负债</t>
    </r>
  </si>
  <si>
    <t>工资约定</t>
  </si>
  <si>
    <r>
      <rPr>
        <sz val="9"/>
        <color rgb="FF333333"/>
        <rFont val="Noto Sans CJK SC"/>
        <charset val="134"/>
      </rPr>
      <t>法</t>
    </r>
    <r>
      <rPr>
        <sz val="9"/>
        <color rgb="FF333333"/>
        <rFont val="微软雅黑"/>
        <charset val="1"/>
      </rPr>
      <t>·</t>
    </r>
    <r>
      <rPr>
        <sz val="9"/>
        <color rgb="FF333333"/>
        <rFont val="Noto Sans CJK SC"/>
        <charset val="134"/>
      </rPr>
      <t>税</t>
    </r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</si>
  <si>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17</t>
    </r>
    <r>
      <rPr>
        <sz val="9"/>
        <color rgb="FF333333"/>
        <rFont val="Noto Sans CJK SC"/>
        <charset val="134"/>
      </rPr>
      <t>条；《最低工资规定》</t>
    </r>
  </si>
  <si>
    <t>工资约定明确、不低于最低工资；加班费基数依法</t>
  </si>
  <si>
    <r>
      <rPr>
        <sz val="9"/>
        <color rgb="FF333333"/>
        <rFont val="Noto Sans CJK SC"/>
        <charset val="134"/>
      </rPr>
      <t>工资约定不明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低于最低工资；加班费基数被做高</t>
    </r>
  </si>
  <si>
    <t>合同工资怎么约定的？加班费基数如何确定？</t>
  </si>
  <si>
    <r>
      <rPr>
        <sz val="9"/>
        <color rgb="FF333333"/>
        <rFont val="Noto Sans CJK SC"/>
        <charset val="134"/>
      </rPr>
      <t>工资条款</t>
    </r>
    <r>
      <rPr>
        <sz val="9"/>
        <color rgb="FF333333"/>
        <rFont val="微软雅黑"/>
        <charset val="1"/>
      </rPr>
      <t>(</t>
    </r>
    <r>
      <rPr>
        <sz val="9"/>
        <color rgb="FF333333"/>
        <rFont val="Noto Sans CJK SC"/>
        <charset val="134"/>
      </rPr>
      <t>结构与口径</t>
    </r>
    <r>
      <rPr>
        <sz val="9"/>
        <color rgb="FF333333"/>
        <rFont val="微软雅黑"/>
        <charset val="1"/>
      </rPr>
      <t>)</t>
    </r>
  </si>
  <si>
    <r>
      <rPr>
        <sz val="9"/>
        <color rgb="FF333333"/>
        <rFont val="Noto Sans CJK SC"/>
        <charset val="134"/>
      </rPr>
      <t>依赖第</t>
    </r>
    <r>
      <rPr>
        <sz val="9"/>
        <color rgb="FF333333"/>
        <rFont val="微软雅黑"/>
        <charset val="1"/>
      </rPr>
      <t>70</t>
    </r>
    <r>
      <rPr>
        <sz val="9"/>
        <color rgb="FF333333"/>
        <rFont val="Noto Sans CJK SC"/>
        <charset val="134"/>
      </rPr>
      <t>项薪酬结构设计</t>
    </r>
  </si>
  <si>
    <t>法律文书送达地址</t>
  </si>
  <si>
    <t>《劳动合同法》；《民事诉讼法》送达规则</t>
  </si>
  <si>
    <t>合同约定法律文书送达地址条款</t>
  </si>
  <si>
    <r>
      <rPr>
        <sz val="9"/>
        <color rgb="FF333333"/>
        <rFont val="Noto Sans CJK SC"/>
        <charset val="134"/>
      </rPr>
      <t>无送达地址，解除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通知无法有效送达，程序瑕疵</t>
    </r>
  </si>
  <si>
    <t>合同里写了文书送达地址吗？</t>
  </si>
  <si>
    <t>送达地址确认书</t>
  </si>
  <si>
    <t>低成本高价值</t>
  </si>
  <si>
    <t>签署规范</t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</si>
  <si>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16</t>
    </r>
    <r>
      <rPr>
        <sz val="9"/>
        <color rgb="FF333333"/>
        <rFont val="Noto Sans CJK SC"/>
        <charset val="134"/>
      </rPr>
      <t>条</t>
    </r>
  </si>
  <si>
    <t>本人签署、骑缝、无空白，禁止代签</t>
  </si>
  <si>
    <t>代签无效、空白被篡改、换页风险</t>
  </si>
  <si>
    <t>有无代签、带回家签、空白合同、未按骑缝？</t>
  </si>
  <si>
    <r>
      <rPr>
        <sz val="9"/>
        <color rgb="FF333333"/>
        <rFont val="Noto Sans CJK SC"/>
        <charset val="134"/>
      </rPr>
      <t xml:space="preserve">签署操作规范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培训</t>
    </r>
  </si>
  <si>
    <t>交付与签收</t>
  </si>
  <si>
    <t>合同一式两份，交付员工并留签收记录</t>
  </si>
  <si>
    <r>
      <rPr>
        <sz val="9"/>
        <color rgb="FF333333"/>
        <rFont val="Noto Sans CJK SC"/>
        <charset val="134"/>
      </rPr>
      <t>未交付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未签收，员工否认，举证不能</t>
    </r>
  </si>
  <si>
    <t>合同发给员工了吗？有领取签收吗？</t>
  </si>
  <si>
    <r>
      <rPr>
        <sz val="9"/>
        <color rgb="FF333333"/>
        <rFont val="Noto Sans CJK SC"/>
        <charset val="134"/>
      </rPr>
      <t xml:space="preserve">合同领取签收表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流程</t>
    </r>
  </si>
  <si>
    <t>续签管理</t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</si>
  <si>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14</t>
    </r>
    <r>
      <rPr>
        <sz val="9"/>
        <color rgb="FF333333"/>
        <rFont val="Noto Sans CJK SC"/>
        <charset val="134"/>
      </rPr>
      <t>条</t>
    </r>
  </si>
  <si>
    <t>到期前及时续签，管控无固定期限触发</t>
  </si>
  <si>
    <r>
      <rPr>
        <sz val="9"/>
        <color rgb="FF333333"/>
        <rFont val="Noto Sans CJK SC"/>
        <charset val="134"/>
      </rPr>
      <t>到期未续形成事实用工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二倍工资；二次固定期限后须签无固定期限</t>
    </r>
  </si>
  <si>
    <t>到期合同如何续签？有无该签无固定期限的？</t>
  </si>
  <si>
    <r>
      <rPr>
        <sz val="9"/>
        <color rgb="FF333333"/>
        <rFont val="Noto Sans CJK SC"/>
        <charset val="134"/>
      </rPr>
      <t xml:space="preserve">到期预警流程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期限征询表</t>
    </r>
  </si>
  <si>
    <t>试用期约定</t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</si>
  <si>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19/20</t>
    </r>
    <r>
      <rPr>
        <sz val="9"/>
        <color rgb="FF333333"/>
        <rFont val="Noto Sans CJK SC"/>
        <charset val="134"/>
      </rPr>
      <t>条</t>
    </r>
  </si>
  <si>
    <r>
      <rPr>
        <sz val="9"/>
        <color rgb="FF333333"/>
        <rFont val="Noto Sans CJK SC"/>
        <charset val="134"/>
      </rPr>
      <t>试用期期限合法，工资不低于约定</t>
    </r>
    <r>
      <rPr>
        <sz val="9"/>
        <color rgb="FF333333"/>
        <rFont val="微软雅黑"/>
        <charset val="1"/>
      </rPr>
      <t>80%</t>
    </r>
    <r>
      <rPr>
        <sz val="9"/>
        <color rgb="FF333333"/>
        <rFont val="Noto Sans CJK SC"/>
        <charset val="134"/>
      </rPr>
      <t>且不低于最低工资</t>
    </r>
  </si>
  <si>
    <r>
      <rPr>
        <sz val="9"/>
        <color rgb="FF333333"/>
        <rFont val="Noto Sans CJK SC"/>
        <charset val="134"/>
      </rPr>
      <t>试用期过长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重复约定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工资过低；超期违法</t>
    </r>
  </si>
  <si>
    <t>试用期多久？工资多少？有无延长试用期？</t>
  </si>
  <si>
    <r>
      <rPr>
        <sz val="9"/>
        <color rgb="FF333333"/>
        <rFont val="Noto Sans CJK SC"/>
        <charset val="134"/>
      </rPr>
      <t>试用期条款</t>
    </r>
    <r>
      <rPr>
        <sz val="9"/>
        <color rgb="FF333333"/>
        <rFont val="微软雅黑"/>
        <charset val="1"/>
      </rPr>
      <t>(</t>
    </r>
    <r>
      <rPr>
        <sz val="9"/>
        <color rgb="FF333333"/>
        <rFont val="Noto Sans CJK SC"/>
        <charset val="134"/>
      </rPr>
      <t>法定上限</t>
    </r>
    <r>
      <rPr>
        <sz val="9"/>
        <color rgb="FF333333"/>
        <rFont val="微软雅黑"/>
        <charset val="1"/>
      </rPr>
      <t>)</t>
    </r>
  </si>
  <si>
    <t>违法约定按已履行期每月赔一倍</t>
  </si>
  <si>
    <t>保密与知识产权</t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</si>
  <si>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23</t>
    </r>
    <r>
      <rPr>
        <sz val="9"/>
        <color rgb="FF333333"/>
        <rFont val="Noto Sans CJK SC"/>
        <charset val="134"/>
      </rPr>
      <t>条；《反不正当竞争法》</t>
    </r>
  </si>
  <si>
    <t>涉密岗位签保密协议，明确职务成果权属</t>
  </si>
  <si>
    <r>
      <rPr>
        <sz val="9"/>
        <color rgb="FF333333"/>
        <rFont val="Noto Sans CJK SC"/>
        <charset val="134"/>
      </rPr>
      <t>涉密岗位未签保密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权属约定，技术外泄</t>
    </r>
  </si>
  <si>
    <r>
      <rPr>
        <sz val="9"/>
        <color rgb="FF333333"/>
        <rFont val="Noto Sans CJK SC"/>
        <charset val="134"/>
      </rPr>
      <t>涉密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核心岗位签保密协议了吗？职务成果归属约定了吗？</t>
    </r>
  </si>
  <si>
    <r>
      <rPr>
        <sz val="9"/>
        <color rgb="FF333333"/>
        <rFont val="Noto Sans CJK SC"/>
        <charset val="134"/>
      </rPr>
      <t xml:space="preserve">保密协议 </t>
    </r>
    <r>
      <rPr>
        <sz val="9"/>
        <color rgb="FF333333"/>
        <rFont val="微软雅黑"/>
        <charset val="1"/>
      </rPr>
      <t xml:space="preserve">/ </t>
    </r>
    <r>
      <rPr>
        <sz val="9"/>
        <color rgb="FF333333"/>
        <rFont val="Noto Sans CJK SC"/>
        <charset val="134"/>
      </rPr>
      <t>权属协议</t>
    </r>
  </si>
  <si>
    <r>
      <rPr>
        <sz val="9"/>
        <color rgb="FF333333"/>
        <rFont val="微软雅黑"/>
        <charset val="1"/>
      </rPr>
      <t xml:space="preserve">L4 </t>
    </r>
    <r>
      <rPr>
        <sz val="9"/>
        <color rgb="FF333333"/>
        <rFont val="Noto Sans CJK SC"/>
        <charset val="134"/>
      </rPr>
      <t>资产保护</t>
    </r>
  </si>
  <si>
    <r>
      <rPr>
        <sz val="9"/>
        <color rgb="FF333333"/>
        <rFont val="Noto Sans CJK SC"/>
        <charset val="134"/>
      </rPr>
      <t>选配</t>
    </r>
    <r>
      <rPr>
        <sz val="9"/>
        <color rgb="FF333333"/>
        <rFont val="微软雅黑"/>
        <charset val="1"/>
      </rPr>
      <t>·</t>
    </r>
    <r>
      <rPr>
        <sz val="9"/>
        <color rgb="FF333333"/>
        <rFont val="Noto Sans CJK SC"/>
        <charset val="134"/>
      </rPr>
      <t>按业务</t>
    </r>
  </si>
  <si>
    <r>
      <rPr>
        <sz val="9"/>
        <color rgb="FF333333"/>
        <rFont val="Noto Sans CJK SC"/>
        <charset val="134"/>
      </rPr>
      <t>技术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销售型必做</t>
    </r>
  </si>
  <si>
    <t>合同保管</t>
  </si>
  <si>
    <t>管</t>
  </si>
  <si>
    <t>合同集中、安全保管，防丢失</t>
  </si>
  <si>
    <t>合同遗失，企业留存缺失，举证不利</t>
  </si>
  <si>
    <t>合同谁保管？是否完整归档？</t>
  </si>
  <si>
    <r>
      <rPr>
        <sz val="9"/>
        <color rgb="FF333333"/>
        <rFont val="Noto Sans CJK SC"/>
        <charset val="134"/>
      </rPr>
      <t xml:space="preserve">合同台账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归档</t>
    </r>
  </si>
  <si>
    <t>电子劳动合同合规</t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</si>
  <si>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3/16</t>
    </r>
    <r>
      <rPr>
        <sz val="9"/>
        <color rgb="FF333333"/>
        <rFont val="Noto Sans CJK SC"/>
        <charset val="134"/>
      </rPr>
      <t>条；人社部电子劳动合同订立指引</t>
    </r>
  </si>
  <si>
    <t>采用符合可靠电子签名要求的平台订立，可生成存储可验证</t>
  </si>
  <si>
    <t>电子合同签署不规范、无法验证，被认定未订立书面合同</t>
  </si>
  <si>
    <t>是否使用电子合同？用什么平台？能否导出验证？</t>
  </si>
  <si>
    <t>电子合同管理规范</t>
  </si>
  <si>
    <t>岗位说明书与录用条件衔接</t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</si>
  <si>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39/40</t>
    </r>
    <r>
      <rPr>
        <sz val="9"/>
        <color rgb="FF333333"/>
        <rFont val="Noto Sans CJK SC"/>
        <charset val="134"/>
      </rPr>
      <t>条</t>
    </r>
  </si>
  <si>
    <t>岗位职责、任职要求、录用条件书面化并与合同制度衔接</t>
  </si>
  <si>
    <r>
      <rPr>
        <sz val="9"/>
        <color rgb="FF333333"/>
        <rFont val="微软雅黑"/>
        <charset val="1"/>
      </rPr>
      <t>JD</t>
    </r>
    <r>
      <rPr>
        <sz val="9"/>
        <color rgb="FF333333"/>
        <rFont val="Noto Sans CJK SC"/>
        <charset val="134"/>
      </rPr>
      <t>缺失，</t>
    </r>
    <r>
      <rPr>
        <sz val="9"/>
        <color rgb="FF333333"/>
        <rFont val="微软雅黑"/>
        <charset val="1"/>
      </rPr>
      <t>'</t>
    </r>
    <r>
      <rPr>
        <sz val="9"/>
        <color rgb="FF333333"/>
        <rFont val="Noto Sans CJK SC"/>
        <charset val="134"/>
      </rPr>
      <t>不胜任</t>
    </r>
    <r>
      <rPr>
        <sz val="9"/>
        <color rgb="FF333333"/>
        <rFont val="微软雅黑"/>
        <charset val="1"/>
      </rPr>
      <t>'</t>
    </r>
    <r>
      <rPr>
        <sz val="9"/>
        <color rgb="FF333333"/>
        <rFont val="Noto Sans CJK SC"/>
        <charset val="134"/>
      </rPr>
      <t>与</t>
    </r>
    <r>
      <rPr>
        <sz val="9"/>
        <color rgb="FF333333"/>
        <rFont val="微软雅黑"/>
        <charset val="1"/>
      </rPr>
      <t>'</t>
    </r>
    <r>
      <rPr>
        <sz val="9"/>
        <color rgb="FF333333"/>
        <rFont val="Noto Sans CJK SC"/>
        <charset val="134"/>
      </rPr>
      <t>不符合录用条件</t>
    </r>
    <r>
      <rPr>
        <sz val="9"/>
        <color rgb="FF333333"/>
        <rFont val="微软雅黑"/>
        <charset val="1"/>
      </rPr>
      <t>'</t>
    </r>
    <r>
      <rPr>
        <sz val="9"/>
        <color rgb="FF333333"/>
        <rFont val="Noto Sans CJK SC"/>
        <charset val="134"/>
      </rPr>
      <t>解除无标准</t>
    </r>
  </si>
  <si>
    <t>各岗位有无岗位说明书？与录用条件、考核如何衔接？</t>
  </si>
  <si>
    <t>岗位说明书模板</t>
  </si>
  <si>
    <t>集体合同管理</t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</si>
  <si>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51-56</t>
    </r>
    <r>
      <rPr>
        <sz val="9"/>
        <color rgb="FF333333"/>
        <rFont val="Noto Sans CJK SC"/>
        <charset val="134"/>
      </rPr>
      <t>条；《集体合同规定》</t>
    </r>
  </si>
  <si>
    <r>
      <rPr>
        <sz val="9"/>
        <color rgb="FF333333"/>
        <rFont val="Noto Sans CJK SC"/>
        <charset val="134"/>
      </rPr>
      <t>依法订立并履行集体合同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专项集体合同</t>
    </r>
  </si>
  <si>
    <t>应签未签集体合同、内容与个别合同冲突</t>
  </si>
  <si>
    <t>是否签订集体合同？内容是否与现行制度一致？</t>
  </si>
  <si>
    <t>集体合同范本</t>
  </si>
  <si>
    <r>
      <rPr>
        <b/>
        <sz val="10"/>
        <color rgb="FF0C447C"/>
        <rFont val="Noto Sans CJK SC"/>
        <charset val="134"/>
      </rPr>
      <t xml:space="preserve">　（特殊用工关系 </t>
    </r>
    <r>
      <rPr>
        <b/>
        <sz val="10"/>
        <color rgb="FF0C447C"/>
        <rFont val="微软雅黑"/>
        <charset val="1"/>
      </rPr>
      <t xml:space="preserve">· </t>
    </r>
    <r>
      <rPr>
        <b/>
        <sz val="10"/>
        <color rgb="FF0C447C"/>
        <rFont val="Noto Sans CJK SC"/>
        <charset val="134"/>
      </rPr>
      <t xml:space="preserve">兼职 </t>
    </r>
    <r>
      <rPr>
        <b/>
        <sz val="10"/>
        <color rgb="FF0C447C"/>
        <rFont val="微软雅黑"/>
        <charset val="1"/>
      </rPr>
      <t xml:space="preserve">/ </t>
    </r>
    <r>
      <rPr>
        <b/>
        <sz val="10"/>
        <color rgb="FF0C447C"/>
        <rFont val="Noto Sans CJK SC"/>
        <charset val="134"/>
      </rPr>
      <t xml:space="preserve">劳务派遣 </t>
    </r>
    <r>
      <rPr>
        <b/>
        <sz val="10"/>
        <color rgb="FF0C447C"/>
        <rFont val="微软雅黑"/>
        <charset val="1"/>
      </rPr>
      <t xml:space="preserve">/ </t>
    </r>
    <r>
      <rPr>
        <b/>
        <sz val="10"/>
        <color rgb="FF0C447C"/>
        <rFont val="Noto Sans CJK SC"/>
        <charset val="134"/>
      </rPr>
      <t xml:space="preserve">外包 </t>
    </r>
    <r>
      <rPr>
        <b/>
        <sz val="10"/>
        <color rgb="FF0C447C"/>
        <rFont val="微软雅黑"/>
        <charset val="1"/>
      </rPr>
      <t xml:space="preserve">/ </t>
    </r>
    <r>
      <rPr>
        <b/>
        <sz val="10"/>
        <color rgb="FF0C447C"/>
        <rFont val="Noto Sans CJK SC"/>
        <charset val="134"/>
      </rPr>
      <t xml:space="preserve">退休返聘 </t>
    </r>
    <r>
      <rPr>
        <b/>
        <sz val="10"/>
        <color rgb="FF0C447C"/>
        <rFont val="微软雅黑"/>
        <charset val="1"/>
      </rPr>
      <t xml:space="preserve">/ </t>
    </r>
    <r>
      <rPr>
        <b/>
        <sz val="10"/>
        <color rgb="FF0C447C"/>
        <rFont val="Noto Sans CJK SC"/>
        <charset val="134"/>
      </rPr>
      <t xml:space="preserve">超龄 </t>
    </r>
    <r>
      <rPr>
        <b/>
        <sz val="10"/>
        <color rgb="FF0C447C"/>
        <rFont val="微软雅黑"/>
        <charset val="1"/>
      </rPr>
      <t xml:space="preserve">/ </t>
    </r>
    <r>
      <rPr>
        <b/>
        <sz val="10"/>
        <color rgb="FF0C447C"/>
        <rFont val="Noto Sans CJK SC"/>
        <charset val="134"/>
      </rPr>
      <t xml:space="preserve">实习 </t>
    </r>
    <r>
      <rPr>
        <b/>
        <sz val="10"/>
        <color rgb="FF0C447C"/>
        <rFont val="微软雅黑"/>
        <charset val="1"/>
      </rPr>
      <t xml:space="preserve">/ </t>
    </r>
    <r>
      <rPr>
        <b/>
        <sz val="10"/>
        <color rgb="FF0C447C"/>
        <rFont val="Noto Sans CJK SC"/>
        <charset val="134"/>
      </rPr>
      <t>非全日制等，均属特殊劳动关系）</t>
    </r>
  </si>
  <si>
    <t>劳务派遣比例</t>
  </si>
  <si>
    <r>
      <rPr>
        <sz val="9"/>
        <color rgb="FF333333"/>
        <rFont val="Noto Sans CJK SC"/>
        <charset val="134"/>
      </rPr>
      <t>《劳务派遣暂行规定》第</t>
    </r>
    <r>
      <rPr>
        <sz val="9"/>
        <color rgb="FF333333"/>
        <rFont val="微软雅黑"/>
        <charset val="1"/>
      </rPr>
      <t>4/28</t>
    </r>
    <r>
      <rPr>
        <sz val="9"/>
        <color rgb="FF333333"/>
        <rFont val="Noto Sans CJK SC"/>
        <charset val="134"/>
      </rPr>
      <t>条</t>
    </r>
  </si>
  <si>
    <r>
      <rPr>
        <sz val="9"/>
        <color rgb="FF333333"/>
        <rFont val="Noto Sans CJK SC"/>
        <charset val="134"/>
      </rPr>
      <t>派遣不超用工总量</t>
    </r>
    <r>
      <rPr>
        <sz val="9"/>
        <color rgb="FF333333"/>
        <rFont val="微软雅黑"/>
        <charset val="1"/>
      </rPr>
      <t>10%</t>
    </r>
    <r>
      <rPr>
        <sz val="9"/>
        <color rgb="FF333333"/>
        <rFont val="Noto Sans CJK SC"/>
        <charset val="134"/>
      </rPr>
      <t>，限临时性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辅助性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替代性岗位</t>
    </r>
  </si>
  <si>
    <r>
      <rPr>
        <sz val="9"/>
        <color rgb="FF333333"/>
        <rFont val="Noto Sans CJK SC"/>
        <charset val="134"/>
      </rPr>
      <t>超比例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非三性岗位违规</t>
    </r>
  </si>
  <si>
    <t>用派遣吗？什么岗位？占比多少？</t>
  </si>
  <si>
    <t>派遣结构调整方案</t>
  </si>
  <si>
    <r>
      <rPr>
        <sz val="9"/>
        <color rgb="FF333333"/>
        <rFont val="微软雅黑"/>
        <charset val="1"/>
      </rPr>
      <t>10%</t>
    </r>
    <r>
      <rPr>
        <sz val="9"/>
        <color rgb="FF333333"/>
        <rFont val="Noto Sans CJK SC"/>
        <charset val="134"/>
      </rPr>
      <t xml:space="preserve">比例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三性岗位</t>
    </r>
  </si>
  <si>
    <t>假外包真派遣</t>
  </si>
  <si>
    <r>
      <rPr>
        <sz val="9"/>
        <color rgb="FF333333"/>
        <rFont val="Noto Sans CJK SC"/>
        <charset val="134"/>
      </rPr>
      <t>《劳务派遣暂行规定》第</t>
    </r>
    <r>
      <rPr>
        <sz val="9"/>
        <color rgb="FF333333"/>
        <rFont val="微软雅黑"/>
        <charset val="1"/>
      </rPr>
      <t>27</t>
    </r>
    <r>
      <rPr>
        <sz val="9"/>
        <color rgb="FF333333"/>
        <rFont val="Noto Sans CJK SC"/>
        <charset val="134"/>
      </rPr>
      <t>条</t>
    </r>
  </si>
  <si>
    <t>外包须真实，由承包方组织管理与发薪</t>
  </si>
  <si>
    <t>假外包被认定与用工单位存在劳动关系</t>
  </si>
  <si>
    <r>
      <rPr>
        <sz val="9"/>
        <color rgb="FF333333"/>
        <rFont val="Noto Sans CJK SC"/>
        <charset val="134"/>
      </rPr>
      <t>外包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承包怎么管理、谁发薪？</t>
    </r>
  </si>
  <si>
    <r>
      <rPr>
        <sz val="9"/>
        <color rgb="FF333333"/>
        <rFont val="Noto Sans CJK SC"/>
        <charset val="134"/>
      </rPr>
      <t xml:space="preserve">外包边界重构方案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承包协议</t>
    </r>
  </si>
  <si>
    <t>★高危结构问题</t>
  </si>
  <si>
    <t>退休返聘</t>
  </si>
  <si>
    <r>
      <rPr>
        <sz val="9"/>
        <color rgb="FF333333"/>
        <rFont val="Noto Sans CJK SC"/>
        <charset val="134"/>
      </rPr>
      <t>人社部令第</t>
    </r>
    <r>
      <rPr>
        <sz val="9"/>
        <color rgb="FF333333"/>
        <rFont val="微软雅黑"/>
        <charset val="1"/>
      </rPr>
      <t>56</t>
    </r>
    <r>
      <rPr>
        <sz val="9"/>
        <color rgb="FF333333"/>
        <rFont val="Noto Sans CJK SC"/>
        <charset val="134"/>
      </rPr>
      <t>号；《民法典》</t>
    </r>
  </si>
  <si>
    <t>返聘签劳务协议，明确工伤等责任</t>
  </si>
  <si>
    <r>
      <rPr>
        <sz val="9"/>
        <color rgb="FF333333"/>
        <rFont val="Noto Sans CJK SC"/>
        <charset val="134"/>
      </rPr>
      <t>未签协议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工伤责任不清独担</t>
    </r>
  </si>
  <si>
    <t>返聘人员签协议了吗？工伤怎么办？</t>
  </si>
  <si>
    <r>
      <rPr>
        <sz val="9"/>
        <color rgb="FF333333"/>
        <rFont val="Noto Sans CJK SC"/>
        <charset val="134"/>
      </rPr>
      <t xml:space="preserve">返聘协议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保障安排</t>
    </r>
  </si>
  <si>
    <r>
      <rPr>
        <sz val="9"/>
        <color rgb="FF333333"/>
        <rFont val="Noto Sans CJK SC"/>
        <charset val="134"/>
      </rPr>
      <t>人社部令第</t>
    </r>
    <r>
      <rPr>
        <sz val="9"/>
        <color rgb="FF333333"/>
        <rFont val="微软雅黑"/>
        <charset val="1"/>
      </rPr>
      <t>56</t>
    </r>
    <r>
      <rPr>
        <sz val="9"/>
        <color rgb="FF333333"/>
        <rFont val="Noto Sans CJK SC"/>
        <charset val="134"/>
      </rPr>
      <t>号已生效</t>
    </r>
    <r>
      <rPr>
        <sz val="9"/>
        <color rgb="FF333333"/>
        <rFont val="微软雅黑"/>
        <charset val="1"/>
      </rPr>
      <t>,</t>
    </r>
    <r>
      <rPr>
        <sz val="9"/>
        <color rgb="FF333333"/>
        <rFont val="Noto Sans CJK SC"/>
        <charset val="134"/>
      </rPr>
      <t>协议与工伤保障须重新评估</t>
    </r>
  </si>
  <si>
    <t>非全日制</t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</si>
  <si>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68-72</t>
    </r>
    <r>
      <rPr>
        <sz val="9"/>
        <color rgb="FF333333"/>
        <rFont val="Noto Sans CJK SC"/>
        <charset val="134"/>
      </rPr>
      <t>条</t>
    </r>
  </si>
  <si>
    <r>
      <rPr>
        <sz val="9"/>
        <color rgb="FF333333"/>
        <rFont val="Noto Sans CJK SC"/>
        <charset val="134"/>
      </rPr>
      <t>每日≤</t>
    </r>
    <r>
      <rPr>
        <sz val="9"/>
        <color rgb="FF333333"/>
        <rFont val="微软雅黑"/>
        <charset val="1"/>
      </rPr>
      <t>4</t>
    </r>
    <r>
      <rPr>
        <sz val="9"/>
        <color rgb="FF333333"/>
        <rFont val="Noto Sans CJK SC"/>
        <charset val="134"/>
      </rPr>
      <t>小时、每周≤</t>
    </r>
    <r>
      <rPr>
        <sz val="9"/>
        <color rgb="FF333333"/>
        <rFont val="微软雅黑"/>
        <charset val="1"/>
      </rPr>
      <t>24</t>
    </r>
    <r>
      <rPr>
        <sz val="9"/>
        <color rgb="FF333333"/>
        <rFont val="Noto Sans CJK SC"/>
        <charset val="134"/>
      </rPr>
      <t>小时</t>
    </r>
  </si>
  <si>
    <t>超时被认定全日制，补社保与合同</t>
  </si>
  <si>
    <r>
      <rPr>
        <sz val="9"/>
        <color rgb="FF333333"/>
        <rFont val="Noto Sans CJK SC"/>
        <charset val="134"/>
      </rPr>
      <t>兼职每天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每周工作多久？</t>
    </r>
  </si>
  <si>
    <r>
      <rPr>
        <sz val="9"/>
        <color rgb="FF333333"/>
        <rFont val="Noto Sans CJK SC"/>
        <charset val="134"/>
      </rPr>
      <t xml:space="preserve">非全日制合同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工时管控</t>
    </r>
  </si>
  <si>
    <t>工时超限即转全日制</t>
  </si>
  <si>
    <t>实习生</t>
  </si>
  <si>
    <t>实习用工相关规定</t>
  </si>
  <si>
    <t>签实习协议并购买意外险</t>
  </si>
  <si>
    <r>
      <rPr>
        <sz val="9"/>
        <color rgb="FF333333"/>
        <rFont val="Noto Sans CJK SC"/>
        <charset val="134"/>
      </rPr>
      <t>未签协议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未保险，受伤担责</t>
    </r>
  </si>
  <si>
    <t>用实习生吗？签协议、买保险了吗？</t>
  </si>
  <si>
    <r>
      <rPr>
        <sz val="9"/>
        <color rgb="FF333333"/>
        <rFont val="Noto Sans CJK SC"/>
        <charset val="134"/>
      </rPr>
      <t xml:space="preserve">实习协议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意外险</t>
    </r>
  </si>
  <si>
    <r>
      <rPr>
        <sz val="9"/>
        <color rgb="FF333333"/>
        <rFont val="Noto Sans CJK SC"/>
        <charset val="134"/>
      </rPr>
      <t>劳务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承揽区分</t>
    </r>
  </si>
  <si>
    <t>《民法典》；《劳动合同法》</t>
  </si>
  <si>
    <t>劳务、承揽关系与劳动关系严格区分</t>
  </si>
  <si>
    <r>
      <rPr>
        <sz val="9"/>
        <color rgb="FF333333"/>
        <rFont val="Noto Sans CJK SC"/>
        <charset val="134"/>
      </rPr>
      <t>名为劳务实为劳动→补缴</t>
    </r>
    <r>
      <rPr>
        <sz val="9"/>
        <color rgb="FF333333"/>
        <rFont val="微软雅黑"/>
        <charset val="1"/>
      </rPr>
      <t>+</t>
    </r>
    <r>
      <rPr>
        <sz val="9"/>
        <color rgb="FF333333"/>
        <rFont val="Noto Sans CJK SC"/>
        <charset val="134"/>
      </rPr>
      <t>责任</t>
    </r>
  </si>
  <si>
    <r>
      <rPr>
        <sz val="9"/>
        <color rgb="FF333333"/>
        <rFont val="Noto Sans CJK SC"/>
        <charset val="134"/>
      </rPr>
      <t>哪些是劳务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承揽合作？</t>
    </r>
  </si>
  <si>
    <t>用工关系性质厘清方案</t>
  </si>
  <si>
    <r>
      <rPr>
        <sz val="9"/>
        <color rgb="FF333333"/>
        <rFont val="Noto Sans CJK SC"/>
        <charset val="134"/>
      </rPr>
      <t>灵活用工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平台</t>
    </r>
  </si>
  <si>
    <t>平台用工与税收政策</t>
  </si>
  <si>
    <t>业务真实、四流一致、税务合规</t>
  </si>
  <si>
    <t>假灵活用工虚开发票、关系认定</t>
  </si>
  <si>
    <r>
      <rPr>
        <sz val="9"/>
        <color rgb="FF333333"/>
        <rFont val="Noto Sans CJK SC"/>
        <charset val="134"/>
      </rPr>
      <t>用平台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灵活用工吗？怎么结算开票？</t>
    </r>
  </si>
  <si>
    <r>
      <rPr>
        <sz val="9"/>
        <color rgb="FF333333"/>
        <rFont val="Noto Sans CJK SC"/>
        <charset val="134"/>
      </rPr>
      <t>灵活用工合规设计</t>
    </r>
    <r>
      <rPr>
        <sz val="9"/>
        <color rgb="FF333333"/>
        <rFont val="微软雅黑"/>
        <charset val="1"/>
      </rPr>
      <t>(</t>
    </r>
    <r>
      <rPr>
        <sz val="9"/>
        <color rgb="FF333333"/>
        <rFont val="Noto Sans CJK SC"/>
        <charset val="134"/>
      </rPr>
      <t>四流一致</t>
    </r>
    <r>
      <rPr>
        <sz val="9"/>
        <color rgb="FF333333"/>
        <rFont val="微软雅黑"/>
        <charset val="1"/>
      </rPr>
      <t>)</t>
    </r>
  </si>
  <si>
    <r>
      <rPr>
        <sz val="9"/>
        <color rgb="FF333333"/>
        <rFont val="Noto Sans CJK SC"/>
        <charset val="134"/>
      </rPr>
      <t>借调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共享用工</t>
    </r>
  </si>
  <si>
    <t>相关规定</t>
  </si>
  <si>
    <t>借调协议明确工资、工伤、管理责任</t>
  </si>
  <si>
    <t>责任不清，争议归属难</t>
  </si>
  <si>
    <r>
      <rPr>
        <sz val="9"/>
        <color rgb="FF333333"/>
        <rFont val="Noto Sans CJK SC"/>
        <charset val="134"/>
      </rPr>
      <t>有借调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共享用工吗？</t>
    </r>
  </si>
  <si>
    <t>借调协议</t>
  </si>
  <si>
    <r>
      <rPr>
        <sz val="9"/>
        <color rgb="FF333333"/>
        <rFont val="Noto Sans CJK SC"/>
        <charset val="134"/>
      </rPr>
      <t>童工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未成年工</t>
    </r>
  </si>
  <si>
    <t>《禁止使用童工规定》；未成年工特殊保护规定</t>
  </si>
  <si>
    <r>
      <rPr>
        <sz val="9"/>
        <color rgb="FF333333"/>
        <rFont val="Noto Sans CJK SC"/>
        <charset val="134"/>
      </rPr>
      <t>禁用未满</t>
    </r>
    <r>
      <rPr>
        <sz val="9"/>
        <color rgb="FF333333"/>
        <rFont val="微软雅黑"/>
        <charset val="1"/>
      </rPr>
      <t>16</t>
    </r>
    <r>
      <rPr>
        <sz val="9"/>
        <color rgb="FF333333"/>
        <rFont val="Noto Sans CJK SC"/>
        <charset val="134"/>
      </rPr>
      <t>周岁；未成年工特殊保护与体检</t>
    </r>
  </si>
  <si>
    <t>使用童工→重罚乃至刑责</t>
  </si>
  <si>
    <r>
      <rPr>
        <sz val="9"/>
        <color rgb="FF333333"/>
        <rFont val="Noto Sans CJK SC"/>
        <charset val="134"/>
      </rPr>
      <t>有无</t>
    </r>
    <r>
      <rPr>
        <sz val="9"/>
        <color rgb="FF333333"/>
        <rFont val="微软雅黑"/>
        <charset val="1"/>
      </rPr>
      <t>16-18</t>
    </r>
    <r>
      <rPr>
        <sz val="9"/>
        <color rgb="FF333333"/>
        <rFont val="Noto Sans CJK SC"/>
        <charset val="134"/>
      </rPr>
      <t>岁或疑似低龄人员？</t>
    </r>
  </si>
  <si>
    <r>
      <rPr>
        <sz val="9"/>
        <color rgb="FF333333"/>
        <rFont val="Noto Sans CJK SC"/>
        <charset val="134"/>
      </rPr>
      <t xml:space="preserve">核验流程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禁用红线</t>
    </r>
  </si>
  <si>
    <r>
      <rPr>
        <sz val="9"/>
        <color rgb="FF333333"/>
        <rFont val="Noto Sans CJK SC"/>
        <charset val="134"/>
      </rPr>
      <t>★红线</t>
    </r>
    <r>
      <rPr>
        <sz val="9"/>
        <color rgb="FF333333"/>
        <rFont val="微软雅黑"/>
        <charset val="1"/>
      </rPr>
      <t>:</t>
    </r>
    <r>
      <rPr>
        <sz val="9"/>
        <color rgb="FF333333"/>
        <rFont val="Noto Sans CJK SC"/>
        <charset val="134"/>
      </rPr>
      <t>发现即停</t>
    </r>
    <r>
      <rPr>
        <sz val="9"/>
        <color rgb="FF333333"/>
        <rFont val="微软雅黑"/>
        <charset val="1"/>
      </rPr>
      <t>,</t>
    </r>
    <r>
      <rPr>
        <sz val="9"/>
        <color rgb="FF333333"/>
        <rFont val="Noto Sans CJK SC"/>
        <charset val="134"/>
      </rPr>
      <t>无分期空间</t>
    </r>
  </si>
  <si>
    <t>季节性用工</t>
  </si>
  <si>
    <r>
      <rPr>
        <sz val="9"/>
        <color rgb="FF333333"/>
        <rFont val="Noto Sans CJK SC"/>
        <charset val="134"/>
      </rPr>
      <t>季节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临时用工签合同、及时参保</t>
    </r>
  </si>
  <si>
    <t>入离职扎堆漏签漏保</t>
  </si>
  <si>
    <t>旺季临时工怎么签、怎么保？</t>
  </si>
  <si>
    <t>季节用工手续规范</t>
  </si>
  <si>
    <r>
      <rPr>
        <sz val="9"/>
        <color rgb="FF333333"/>
        <rFont val="Noto Sans CJK SC"/>
        <charset val="134"/>
      </rPr>
      <t>司机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食堂等特殊岗</t>
    </r>
  </si>
  <si>
    <t>司机、食堂等明确用工关系、协议与资质</t>
  </si>
  <si>
    <t>关系不清、健康证缺失担责</t>
  </si>
  <si>
    <r>
      <rPr>
        <sz val="9"/>
        <color rgb="FF333333"/>
        <rFont val="Noto Sans CJK SC"/>
        <charset val="134"/>
      </rPr>
      <t>有司机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食堂吗？怎么管理？</t>
    </r>
  </si>
  <si>
    <t>特殊岗位用工规范</t>
  </si>
  <si>
    <t>用工形式整体合规设计</t>
  </si>
  <si>
    <t>综合</t>
  </si>
  <si>
    <t>按业务需要合法选择并组合用工形式，避免错配与规避</t>
  </si>
  <si>
    <r>
      <rPr>
        <sz val="9"/>
        <color rgb="FF333333"/>
        <rFont val="Noto Sans CJK SC"/>
        <charset val="134"/>
      </rPr>
      <t>用工形式错配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以合作之名规避用工责任</t>
    </r>
  </si>
  <si>
    <t>各类用工形式占比与原因？是否存在规避？</t>
  </si>
  <si>
    <t>用工形式设计方案</t>
  </si>
  <si>
    <r>
      <rPr>
        <sz val="9"/>
        <color rgb="FF333333"/>
        <rFont val="Noto Sans CJK SC"/>
        <charset val="134"/>
      </rPr>
      <t>★★核心</t>
    </r>
    <r>
      <rPr>
        <sz val="9"/>
        <color rgb="FF333333"/>
        <rFont val="微软雅黑"/>
        <charset val="1"/>
      </rPr>
      <t>:</t>
    </r>
    <r>
      <rPr>
        <sz val="9"/>
        <color rgb="FF333333"/>
        <rFont val="Noto Sans CJK SC"/>
        <charset val="134"/>
      </rPr>
      <t>结构层的总纲</t>
    </r>
  </si>
  <si>
    <t>外包供应商资质与管理</t>
  </si>
  <si>
    <t>《劳动合同法》；外包相关规定</t>
  </si>
  <si>
    <t>外包须真实、有资质、自主管理，界面清晰</t>
  </si>
  <si>
    <t>假外包真派遣、供应商无资质，连带担责</t>
  </si>
  <si>
    <t>外包供应商资质？现场谁管理、谁发薪？</t>
  </si>
  <si>
    <r>
      <rPr>
        <sz val="9"/>
        <color rgb="FF333333"/>
        <rFont val="Noto Sans CJK SC"/>
        <charset val="134"/>
      </rPr>
      <t xml:space="preserve">外包管理规范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协议</t>
    </r>
  </si>
  <si>
    <r>
      <rPr>
        <b/>
        <sz val="10"/>
        <color rgb="FF0C447C"/>
        <rFont val="Noto Sans CJK SC"/>
        <charset val="134"/>
      </rPr>
      <t>　③考勤休假管控　（</t>
    </r>
    <r>
      <rPr>
        <b/>
        <sz val="10"/>
        <color rgb="FF0C447C"/>
        <rFont val="微软雅黑"/>
        <charset val="1"/>
      </rPr>
      <t xml:space="preserve">15 </t>
    </r>
    <r>
      <rPr>
        <b/>
        <sz val="10"/>
        <color rgb="FF0C447C"/>
        <rFont val="Noto Sans CJK SC"/>
        <charset val="134"/>
      </rPr>
      <t>项）</t>
    </r>
  </si>
  <si>
    <t>③考勤休假管控</t>
  </si>
  <si>
    <t>工时制度合法</t>
  </si>
  <si>
    <r>
      <rPr>
        <sz val="9"/>
        <color rgb="FF333333"/>
        <rFont val="Noto Sans CJK SC"/>
        <charset val="134"/>
      </rPr>
      <t>《劳动法》第</t>
    </r>
    <r>
      <rPr>
        <sz val="9"/>
        <color rgb="FF333333"/>
        <rFont val="微软雅黑"/>
        <charset val="1"/>
      </rPr>
      <t>36</t>
    </r>
    <r>
      <rPr>
        <sz val="9"/>
        <color rgb="FF333333"/>
        <rFont val="Noto Sans CJK SC"/>
        <charset val="134"/>
      </rPr>
      <t>条；《国务院关于职工工作时间的规定》</t>
    </r>
  </si>
  <si>
    <r>
      <rPr>
        <sz val="9"/>
        <color rgb="FF333333"/>
        <rFont val="Noto Sans CJK SC"/>
        <charset val="134"/>
      </rPr>
      <t>标准工时每日</t>
    </r>
    <r>
      <rPr>
        <sz val="9"/>
        <color rgb="FF333333"/>
        <rFont val="微软雅黑"/>
        <charset val="1"/>
      </rPr>
      <t>8</t>
    </r>
    <r>
      <rPr>
        <sz val="9"/>
        <color rgb="FF333333"/>
        <rFont val="Noto Sans CJK SC"/>
        <charset val="134"/>
      </rPr>
      <t>小时、每周</t>
    </r>
    <r>
      <rPr>
        <sz val="9"/>
        <color rgb="FF333333"/>
        <rFont val="微软雅黑"/>
        <charset val="1"/>
      </rPr>
      <t>40</t>
    </r>
    <r>
      <rPr>
        <sz val="9"/>
        <color rgb="FF333333"/>
        <rFont val="Noto Sans CJK SC"/>
        <charset val="134"/>
      </rPr>
      <t>小时</t>
    </r>
  </si>
  <si>
    <t>超时用工未付加班费，工时违法</t>
  </si>
  <si>
    <t>作息时间怎样？每天工作几小时？周休几天？</t>
  </si>
  <si>
    <t>工时制度核定方案</t>
  </si>
  <si>
    <t>特殊工时审批</t>
  </si>
  <si>
    <r>
      <rPr>
        <sz val="9"/>
        <color rgb="FF333333"/>
        <rFont val="Noto Sans CJK SC"/>
        <charset val="134"/>
      </rPr>
      <t>《劳动法》第</t>
    </r>
    <r>
      <rPr>
        <sz val="9"/>
        <color rgb="FF333333"/>
        <rFont val="微软雅黑"/>
        <charset val="1"/>
      </rPr>
      <t>39</t>
    </r>
    <r>
      <rPr>
        <sz val="9"/>
        <color rgb="FF333333"/>
        <rFont val="Noto Sans CJK SC"/>
        <charset val="134"/>
      </rPr>
      <t>条；地方综合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不定时工时审批规定</t>
    </r>
  </si>
  <si>
    <r>
      <rPr>
        <sz val="9"/>
        <color rgb="FF333333"/>
        <rFont val="Noto Sans CJK SC"/>
        <charset val="134"/>
      </rPr>
      <t>综合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不定时工时须经人社部门审批</t>
    </r>
  </si>
  <si>
    <t>未批擅自适用→一律按标准工时计加班</t>
  </si>
  <si>
    <r>
      <rPr>
        <sz val="9"/>
        <color rgb="FF333333"/>
        <rFont val="Noto Sans CJK SC"/>
        <charset val="134"/>
      </rPr>
      <t>是否使用综合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不定时工时？有审批吗？</t>
    </r>
  </si>
  <si>
    <t>特殊工时申报方案</t>
  </si>
  <si>
    <r>
      <rPr>
        <sz val="9"/>
        <color rgb="FF333333"/>
        <rFont val="Noto Sans CJK SC"/>
        <charset val="134"/>
      </rPr>
      <t>需当地审批</t>
    </r>
    <r>
      <rPr>
        <sz val="9"/>
        <color rgb="FF333333"/>
        <rFont val="微软雅黑"/>
        <charset val="1"/>
      </rPr>
      <t>,</t>
    </r>
    <r>
      <rPr>
        <sz val="9"/>
        <color rgb="FF333333"/>
        <rFont val="Noto Sans CJK SC"/>
        <charset val="134"/>
      </rPr>
      <t>周期长</t>
    </r>
    <r>
      <rPr>
        <sz val="9"/>
        <color rgb="FF333333"/>
        <rFont val="微软雅黑"/>
        <charset val="1"/>
      </rPr>
      <t>,</t>
    </r>
    <r>
      <rPr>
        <sz val="9"/>
        <color rgb="FF333333"/>
        <rFont val="Noto Sans CJK SC"/>
        <charset val="134"/>
      </rPr>
      <t>尽早启动</t>
    </r>
  </si>
  <si>
    <t>加班审批制度</t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</si>
  <si>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31</t>
    </r>
    <r>
      <rPr>
        <sz val="9"/>
        <color rgb="FF333333"/>
        <rFont val="Noto Sans CJK SC"/>
        <charset val="134"/>
      </rPr>
      <t>条</t>
    </r>
  </si>
  <si>
    <t>建立加班申请审批制度，加班需经批准</t>
  </si>
  <si>
    <t>默许加班无审批，加班费追溯、举证不利</t>
  </si>
  <si>
    <t>加班要审批吗？有无加班审批记录？</t>
  </si>
  <si>
    <r>
      <rPr>
        <sz val="9"/>
        <color rgb="FF333333"/>
        <rFont val="Noto Sans CJK SC"/>
        <charset val="134"/>
      </rPr>
      <t xml:space="preserve">加班审批表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流程</t>
    </r>
  </si>
  <si>
    <t>★加班举证的关键</t>
  </si>
  <si>
    <t>加班费标准</t>
  </si>
  <si>
    <r>
      <rPr>
        <sz val="9"/>
        <color rgb="FF333333"/>
        <rFont val="Noto Sans CJK SC"/>
        <charset val="134"/>
      </rPr>
      <t>《劳动法》第</t>
    </r>
    <r>
      <rPr>
        <sz val="9"/>
        <color rgb="FF333333"/>
        <rFont val="微软雅黑"/>
        <charset val="1"/>
      </rPr>
      <t>44</t>
    </r>
    <r>
      <rPr>
        <sz val="9"/>
        <color rgb="FF333333"/>
        <rFont val="Noto Sans CJK SC"/>
        <charset val="134"/>
      </rPr>
      <t>条</t>
    </r>
  </si>
  <si>
    <r>
      <rPr>
        <sz val="9"/>
        <color rgb="FF333333"/>
        <rFont val="Noto Sans CJK SC"/>
        <charset val="134"/>
      </rPr>
      <t>平日</t>
    </r>
    <r>
      <rPr>
        <sz val="9"/>
        <color rgb="FF333333"/>
        <rFont val="微软雅黑"/>
        <charset val="1"/>
      </rPr>
      <t>150%</t>
    </r>
    <r>
      <rPr>
        <sz val="9"/>
        <color rgb="FF333333"/>
        <rFont val="Noto Sans CJK SC"/>
        <charset val="134"/>
      </rPr>
      <t>、休息日</t>
    </r>
    <r>
      <rPr>
        <sz val="9"/>
        <color rgb="FF333333"/>
        <rFont val="微软雅黑"/>
        <charset val="1"/>
      </rPr>
      <t>200%</t>
    </r>
    <r>
      <rPr>
        <sz val="9"/>
        <color rgb="FF333333"/>
        <rFont val="Noto Sans CJK SC"/>
        <charset val="134"/>
      </rPr>
      <t>、法定节假日</t>
    </r>
    <r>
      <rPr>
        <sz val="9"/>
        <color rgb="FF333333"/>
        <rFont val="微软雅黑"/>
        <charset val="1"/>
      </rPr>
      <t>300%</t>
    </r>
  </si>
  <si>
    <t>加班费未足额、基数偏低，集体追溯</t>
  </si>
  <si>
    <t>加班费怎么算？基数是多少？</t>
  </si>
  <si>
    <t>加班费核算方案</t>
  </si>
  <si>
    <t>★时效内持续累积</t>
  </si>
  <si>
    <t>考勤记录留存</t>
  </si>
  <si>
    <t>《劳动争议司法解释（一）》举证规则</t>
  </si>
  <si>
    <r>
      <rPr>
        <sz val="9"/>
        <color rgb="FF333333"/>
        <rFont val="Noto Sans CJK SC"/>
        <charset val="134"/>
      </rPr>
      <t>考勤记录由企业保存（至少</t>
    </r>
    <r>
      <rPr>
        <sz val="9"/>
        <color rgb="FF333333"/>
        <rFont val="微软雅黑"/>
        <charset val="1"/>
      </rPr>
      <t>2</t>
    </r>
    <r>
      <rPr>
        <sz val="9"/>
        <color rgb="FF333333"/>
        <rFont val="Noto Sans CJK SC"/>
        <charset val="134"/>
      </rPr>
      <t>年），完整可追溯</t>
    </r>
  </si>
  <si>
    <t>考勤不规范，加班举证责任归企业而败诉</t>
  </si>
  <si>
    <t>用什么考勤？记录完整吗？保存多久？</t>
  </si>
  <si>
    <r>
      <rPr>
        <sz val="9"/>
        <color rgb="FF333333"/>
        <rFont val="Noto Sans CJK SC"/>
        <charset val="134"/>
      </rPr>
      <t xml:space="preserve">考勤系统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留存规范</t>
    </r>
  </si>
  <si>
    <t>★★证据能力核心</t>
  </si>
  <si>
    <t>年休假</t>
  </si>
  <si>
    <r>
      <rPr>
        <sz val="9"/>
        <color rgb="FF333333"/>
        <rFont val="Noto Sans CJK SC"/>
        <charset val="134"/>
      </rPr>
      <t>《职工带薪年休假条例》第</t>
    </r>
    <r>
      <rPr>
        <sz val="9"/>
        <color rgb="FF333333"/>
        <rFont val="微软雅黑"/>
        <charset val="1"/>
      </rPr>
      <t>5</t>
    </r>
    <r>
      <rPr>
        <sz val="9"/>
        <color rgb="FF333333"/>
        <rFont val="Noto Sans CJK SC"/>
        <charset val="134"/>
      </rPr>
      <t>条</t>
    </r>
  </si>
  <si>
    <r>
      <rPr>
        <sz val="9"/>
        <color rgb="FF333333"/>
        <rFont val="Noto Sans CJK SC"/>
        <charset val="134"/>
      </rPr>
      <t>依工龄给年休假；应休未休按日工资</t>
    </r>
    <r>
      <rPr>
        <sz val="9"/>
        <color rgb="FF333333"/>
        <rFont val="微软雅黑"/>
        <charset val="1"/>
      </rPr>
      <t>300%</t>
    </r>
    <r>
      <rPr>
        <sz val="9"/>
        <color rgb="FF333333"/>
        <rFont val="Noto Sans CJK SC"/>
        <charset val="134"/>
      </rPr>
      <t>支付</t>
    </r>
  </si>
  <si>
    <r>
      <rPr>
        <sz val="9"/>
        <color rgb="FF333333"/>
        <rFont val="Noto Sans CJK SC"/>
        <charset val="134"/>
      </rPr>
      <t>应休未休未支付</t>
    </r>
    <r>
      <rPr>
        <sz val="9"/>
        <color rgb="FF333333"/>
        <rFont val="微软雅黑"/>
        <charset val="1"/>
      </rPr>
      <t>300%</t>
    </r>
    <r>
      <rPr>
        <sz val="9"/>
        <color rgb="FF333333"/>
        <rFont val="Noto Sans CJK SC"/>
        <charset val="134"/>
      </rPr>
      <t>报酬</t>
    </r>
  </si>
  <si>
    <t>年休假怎么安排？未休的如何处理？</t>
  </si>
  <si>
    <r>
      <rPr>
        <sz val="9"/>
        <color rgb="FF333333"/>
        <rFont val="Noto Sans CJK SC"/>
        <charset val="134"/>
      </rPr>
      <t xml:space="preserve">年休假台账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落实</t>
    </r>
  </si>
  <si>
    <r>
      <rPr>
        <sz val="9"/>
        <color rgb="FF333333"/>
        <rFont val="Noto Sans CJK SC"/>
        <charset val="134"/>
      </rPr>
      <t>未休需付</t>
    </r>
    <r>
      <rPr>
        <sz val="9"/>
        <color rgb="FF333333"/>
        <rFont val="微软雅黑"/>
        <charset val="1"/>
      </rPr>
      <t>300%</t>
    </r>
  </si>
  <si>
    <t>法定节假日</t>
  </si>
  <si>
    <r>
      <rPr>
        <sz val="9"/>
        <color rgb="FF333333"/>
        <rFont val="Noto Sans CJK SC"/>
        <charset val="134"/>
      </rPr>
      <t>《全国年节及纪念日放假办法》；《劳动法》第</t>
    </r>
    <r>
      <rPr>
        <sz val="9"/>
        <color rgb="FF333333"/>
        <rFont val="微软雅黑"/>
        <charset val="1"/>
      </rPr>
      <t>44</t>
    </r>
    <r>
      <rPr>
        <sz val="9"/>
        <color rgb="FF333333"/>
        <rFont val="Noto Sans CJK SC"/>
        <charset val="134"/>
      </rPr>
      <t>条</t>
    </r>
  </si>
  <si>
    <r>
      <rPr>
        <sz val="9"/>
        <color rgb="FF333333"/>
        <rFont val="Noto Sans CJK SC"/>
        <charset val="134"/>
      </rPr>
      <t>法定节假日加班按</t>
    </r>
    <r>
      <rPr>
        <sz val="9"/>
        <color rgb="FF333333"/>
        <rFont val="微软雅黑"/>
        <charset val="1"/>
      </rPr>
      <t>300%</t>
    </r>
    <r>
      <rPr>
        <sz val="9"/>
        <color rgb="FF333333"/>
        <rFont val="Noto Sans CJK SC"/>
        <charset val="134"/>
      </rPr>
      <t>支付，不得调休抵充</t>
    </r>
  </si>
  <si>
    <r>
      <rPr>
        <sz val="9"/>
        <color rgb="FF333333"/>
        <rFont val="Noto Sans CJK SC"/>
        <charset val="134"/>
      </rPr>
      <t>法定节假日加班未付</t>
    </r>
    <r>
      <rPr>
        <sz val="9"/>
        <color rgb="FF333333"/>
        <rFont val="微软雅黑"/>
        <charset val="1"/>
      </rPr>
      <t>300%</t>
    </r>
  </si>
  <si>
    <t>法定节假日加班怎么处理？</t>
  </si>
  <si>
    <t>节假日加班核算规则</t>
  </si>
  <si>
    <t>病假与医疗期</t>
  </si>
  <si>
    <t>《企业职工患病或非因工负伤医疗期规定》</t>
  </si>
  <si>
    <r>
      <rPr>
        <sz val="9"/>
        <color rgb="FF333333"/>
        <rFont val="Noto Sans CJK SC"/>
        <charset val="134"/>
      </rPr>
      <t>依法给予医疗期，病假工资不低于最低工资</t>
    </r>
    <r>
      <rPr>
        <sz val="9"/>
        <color rgb="FF333333"/>
        <rFont val="微软雅黑"/>
        <charset val="1"/>
      </rPr>
      <t>80%</t>
    </r>
  </si>
  <si>
    <t>病假工资过低；医疗期内违法解除</t>
  </si>
  <si>
    <t>病假工资怎么发？医疗期如何计算？</t>
  </si>
  <si>
    <t>病假工资与医疗期规则</t>
  </si>
  <si>
    <t>三期与婚育假</t>
  </si>
  <si>
    <t>《女职工劳动保护特别规定》；地方人口与计生条例</t>
  </si>
  <si>
    <r>
      <rPr>
        <sz val="9"/>
        <color rgb="FF333333"/>
        <rFont val="Noto Sans CJK SC"/>
        <charset val="134"/>
      </rPr>
      <t>落实产假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陪产假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育儿假等地方标准（如部分地区产假</t>
    </r>
    <r>
      <rPr>
        <sz val="9"/>
        <color rgb="FF333333"/>
        <rFont val="微软雅黑"/>
        <charset val="1"/>
      </rPr>
      <t>158</t>
    </r>
    <r>
      <rPr>
        <sz val="9"/>
        <color rgb="FF333333"/>
        <rFont val="Noto Sans CJK SC"/>
        <charset val="134"/>
      </rPr>
      <t>天）</t>
    </r>
  </si>
  <si>
    <t>婚育假未给足，差额补偿与投诉</t>
  </si>
  <si>
    <r>
      <rPr>
        <sz val="9"/>
        <color rgb="FF333333"/>
        <rFont val="Noto Sans CJK SC"/>
        <charset val="134"/>
      </rPr>
      <t>产假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陪产假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育儿假按什么标准执行？</t>
    </r>
  </si>
  <si>
    <r>
      <rPr>
        <sz val="9"/>
        <color rgb="FF333333"/>
        <rFont val="Noto Sans CJK SC"/>
        <charset val="134"/>
      </rPr>
      <t>假期管理表</t>
    </r>
    <r>
      <rPr>
        <sz val="9"/>
        <color rgb="FF333333"/>
        <rFont val="微软雅黑"/>
        <charset val="1"/>
      </rPr>
      <t>(</t>
    </r>
    <r>
      <rPr>
        <sz val="9"/>
        <color rgb="FF333333"/>
        <rFont val="Noto Sans CJK SC"/>
        <charset val="134"/>
      </rPr>
      <t>对照地方标准</t>
    </r>
    <r>
      <rPr>
        <sz val="9"/>
        <color rgb="FF333333"/>
        <rFont val="微软雅黑"/>
        <charset val="1"/>
      </rPr>
      <t>)</t>
    </r>
  </si>
  <si>
    <t>隐性加班</t>
  </si>
  <si>
    <t>司法实践（线上加班认定）</t>
  </si>
  <si>
    <t>对下班后持续性线上工作合理管理与界定</t>
  </si>
  <si>
    <r>
      <rPr>
        <sz val="9"/>
        <color rgb="FF333333"/>
        <rFont val="Noto Sans CJK SC"/>
        <charset val="134"/>
      </rPr>
      <t>下班后微信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钉钉处理工作被认定加班</t>
    </r>
  </si>
  <si>
    <t>下班后是否要求员工线上处理工作？</t>
  </si>
  <si>
    <t>线上响应边界规则设计</t>
  </si>
  <si>
    <t>新兴争议高发点</t>
  </si>
  <si>
    <t>调休管理</t>
  </si>
  <si>
    <t>《劳动法》</t>
  </si>
  <si>
    <t>调休规则合法，不得跨年清零或强制抵加班费</t>
  </si>
  <si>
    <t>调休跨年清零、强制调休抵加班费违法</t>
  </si>
  <si>
    <t>调休怎么规定的？会跨年清零吗？</t>
  </si>
  <si>
    <t>调休规则条款</t>
  </si>
  <si>
    <t>综合工时加班核算</t>
  </si>
  <si>
    <r>
      <rPr>
        <sz val="9"/>
        <color rgb="FF333333"/>
        <rFont val="Noto Sans CJK SC"/>
        <charset val="134"/>
      </rPr>
      <t>《劳动法》第</t>
    </r>
    <r>
      <rPr>
        <sz val="9"/>
        <color rgb="FF333333"/>
        <rFont val="微软雅黑"/>
        <charset val="1"/>
      </rPr>
      <t>41</t>
    </r>
    <r>
      <rPr>
        <sz val="9"/>
        <color rgb="FF333333"/>
        <rFont val="Noto Sans CJK SC"/>
        <charset val="134"/>
      </rPr>
      <t>条；综合计算工时工作制规定</t>
    </r>
  </si>
  <si>
    <r>
      <rPr>
        <sz val="9"/>
        <color rgb="FF333333"/>
        <rFont val="Noto Sans CJK SC"/>
        <charset val="134"/>
      </rPr>
      <t>综合工时以周期总工时核算，超出部分付</t>
    </r>
    <r>
      <rPr>
        <sz val="9"/>
        <color rgb="FF333333"/>
        <rFont val="微软雅黑"/>
        <charset val="1"/>
      </rPr>
      <t>1.5</t>
    </r>
    <r>
      <rPr>
        <sz val="9"/>
        <color rgb="FF333333"/>
        <rFont val="Noto Sans CJK SC"/>
        <charset val="134"/>
      </rPr>
      <t>倍加班费</t>
    </r>
  </si>
  <si>
    <t>综合工时下不付或少付加班费，周期超时</t>
  </si>
  <si>
    <t>综合工时岗位如何核算加班？周期总工时是否超标？</t>
  </si>
  <si>
    <t>综合工时核算模型</t>
  </si>
  <si>
    <t>值班与加班区分</t>
  </si>
  <si>
    <t>加班费相关裁审口径</t>
  </si>
  <si>
    <t>非生产经营性值班与加班区分，值班按值班待遇</t>
  </si>
  <si>
    <t>将加班混为值班规避加班费，被追溯</t>
  </si>
  <si>
    <t>是否安排值班？值班与加班如何区分、如何计酬？</t>
  </si>
  <si>
    <t>值班管理制度</t>
  </si>
  <si>
    <t>年休假折算与离职结算</t>
  </si>
  <si>
    <t>《职工带薪年休假条例》及实施办法</t>
  </si>
  <si>
    <r>
      <rPr>
        <sz val="9"/>
        <color rgb="FF333333"/>
        <rFont val="Noto Sans CJK SC"/>
        <charset val="134"/>
      </rPr>
      <t>入职首年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离职当年按比例折算，离职结清未休年假报酬</t>
    </r>
  </si>
  <si>
    <r>
      <rPr>
        <sz val="9"/>
        <color rgb="FF333333"/>
        <rFont val="Noto Sans CJK SC"/>
        <charset val="134"/>
      </rPr>
      <t>折算错误、离职未结清未休年假，被追</t>
    </r>
    <r>
      <rPr>
        <sz val="9"/>
        <color rgb="FF333333"/>
        <rFont val="微软雅黑"/>
        <charset val="1"/>
      </rPr>
      <t>300%</t>
    </r>
  </si>
  <si>
    <t>年休假如何折算？离职时未休年假如何结算？</t>
  </si>
  <si>
    <r>
      <rPr>
        <sz val="9"/>
        <color rgb="FF333333"/>
        <rFont val="Noto Sans CJK SC"/>
        <charset val="134"/>
      </rPr>
      <t xml:space="preserve">年休假台账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结算规则</t>
    </r>
  </si>
  <si>
    <t>事假与旷工认定</t>
  </si>
  <si>
    <r>
      <rPr>
        <sz val="9"/>
        <color rgb="FF333333"/>
        <rFont val="Noto Sans CJK SC"/>
        <charset val="134"/>
      </rPr>
      <t>管</t>
    </r>
    <r>
      <rPr>
        <sz val="9"/>
        <color rgb="FF333333"/>
        <rFont val="微软雅黑"/>
        <charset val="1"/>
      </rPr>
      <t>·</t>
    </r>
    <r>
      <rPr>
        <sz val="9"/>
        <color rgb="FF333333"/>
        <rFont val="Noto Sans CJK SC"/>
        <charset val="134"/>
      </rPr>
      <t>法</t>
    </r>
  </si>
  <si>
    <t>规章制度；裁审口径</t>
  </si>
  <si>
    <t>事假、旷工的认定标准、审批与扣薪规则明确合法</t>
  </si>
  <si>
    <t>旷工认定无依据、据此解除被认定违法</t>
  </si>
  <si>
    <t>事假怎么批？旷工怎么认定？连续旷工多少天可解除？</t>
  </si>
  <si>
    <t>考勤管理制度条款</t>
  </si>
  <si>
    <r>
      <rPr>
        <b/>
        <sz val="10"/>
        <color rgb="FF0C447C"/>
        <rFont val="Noto Sans CJK SC"/>
        <charset val="134"/>
      </rPr>
      <t>　④规章制度管控　（</t>
    </r>
    <r>
      <rPr>
        <b/>
        <sz val="10"/>
        <color rgb="FF0C447C"/>
        <rFont val="微软雅黑"/>
        <charset val="1"/>
      </rPr>
      <t xml:space="preserve">13 </t>
    </r>
    <r>
      <rPr>
        <b/>
        <sz val="10"/>
        <color rgb="FF0C447C"/>
        <rFont val="Noto Sans CJK SC"/>
        <charset val="134"/>
      </rPr>
      <t>项）</t>
    </r>
  </si>
  <si>
    <t>④规章制度管控</t>
  </si>
  <si>
    <t>制度体系完整</t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</si>
  <si>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4</t>
    </r>
    <r>
      <rPr>
        <sz val="9"/>
        <color rgb="FF333333"/>
        <rFont val="Noto Sans CJK SC"/>
        <charset val="134"/>
      </rPr>
      <t>条</t>
    </r>
  </si>
  <si>
    <t>建立奖惩、考勤、薪酬等核心制度，作为管理依据</t>
  </si>
  <si>
    <t>制度缺失，处罚、解除无依据</t>
  </si>
  <si>
    <t>有哪些规章制度？奖惩、考勤、薪酬制度齐全吗？</t>
  </si>
  <si>
    <t>规章制度全套模板</t>
  </si>
  <si>
    <t>★★核心产品</t>
  </si>
  <si>
    <t>民主程序</t>
  </si>
  <si>
    <r>
      <rPr>
        <sz val="9"/>
        <color rgb="FF333333"/>
        <rFont val="Noto Sans CJK SC"/>
        <charset val="134"/>
      </rPr>
      <t>涉切身利益制度须经职代会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全体职工讨论</t>
    </r>
  </si>
  <si>
    <t>未经民主程序→程序违法、对员工无效</t>
  </si>
  <si>
    <r>
      <rPr>
        <sz val="9"/>
        <color rgb="FF333333"/>
        <rFont val="Noto Sans CJK SC"/>
        <charset val="134"/>
      </rPr>
      <t>制度制定时开过职代会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职工大会吗？有证据吗？</t>
    </r>
  </si>
  <si>
    <r>
      <rPr>
        <sz val="9"/>
        <color rgb="FF333333"/>
        <rFont val="Noto Sans CJK SC"/>
        <charset val="134"/>
      </rPr>
      <t xml:space="preserve">民主程序全套资料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现场执行</t>
    </r>
  </si>
  <si>
    <r>
      <rPr>
        <sz val="9"/>
        <color rgb="FF333333"/>
        <rFont val="Noto Sans CJK SC"/>
        <charset val="134"/>
      </rPr>
      <t>★★★不执行</t>
    </r>
    <r>
      <rPr>
        <sz val="9"/>
        <color rgb="FF333333"/>
        <rFont val="微软雅黑"/>
        <charset val="1"/>
      </rPr>
      <t>=</t>
    </r>
    <r>
      <rPr>
        <sz val="9"/>
        <color rgb="FF333333"/>
        <rFont val="Noto Sans CJK SC"/>
        <charset val="134"/>
      </rPr>
      <t>制度无效</t>
    </r>
    <r>
      <rPr>
        <sz val="9"/>
        <color rgb="FF333333"/>
        <rFont val="微软雅黑"/>
        <charset val="1"/>
      </rPr>
      <t>;</t>
    </r>
    <r>
      <rPr>
        <sz val="9"/>
        <color rgb="FF333333"/>
        <rFont val="Noto Sans CJK SC"/>
        <charset val="134"/>
      </rPr>
      <t>必须陪跑</t>
    </r>
  </si>
  <si>
    <t>公示告知</t>
  </si>
  <si>
    <t>制度须向员工公示或告知</t>
  </si>
  <si>
    <r>
      <rPr>
        <sz val="9"/>
        <color rgb="FF333333"/>
        <rFont val="Noto Sans CJK SC"/>
        <charset val="134"/>
      </rPr>
      <t>未公示告知→不能作为处罚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解除依据</t>
    </r>
  </si>
  <si>
    <r>
      <rPr>
        <sz val="9"/>
        <color rgb="FF333333"/>
        <rFont val="Noto Sans CJK SC"/>
        <charset val="134"/>
      </rPr>
      <t>制度怎么公示告知的？有签字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培训记录吗？</t>
    </r>
  </si>
  <si>
    <r>
      <rPr>
        <sz val="9"/>
        <color rgb="FF333333"/>
        <rFont val="Noto Sans CJK SC"/>
        <charset val="134"/>
      </rPr>
      <t xml:space="preserve">公示留痕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培训签到</t>
    </r>
  </si>
  <si>
    <t>★★★同上</t>
  </si>
  <si>
    <t>签收留痕</t>
  </si>
  <si>
    <r>
      <rPr>
        <sz val="9"/>
        <color rgb="FF333333"/>
        <rFont val="Noto Sans CJK SC"/>
        <charset val="134"/>
      </rPr>
      <t>员工手册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制度经员工签收确认</t>
    </r>
  </si>
  <si>
    <t>未签收无法证明已告知</t>
  </si>
  <si>
    <t>员工手册发了吗？有签收吗？</t>
  </si>
  <si>
    <r>
      <rPr>
        <sz val="9"/>
        <color rgb="FF333333"/>
        <rFont val="Noto Sans CJK SC"/>
        <charset val="134"/>
      </rPr>
      <t xml:space="preserve">签收表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归档</t>
    </r>
  </si>
  <si>
    <t>严重违纪标准</t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</si>
  <si>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39</t>
    </r>
    <r>
      <rPr>
        <sz val="9"/>
        <color rgb="FF333333"/>
        <rFont val="Noto Sans CJK SC"/>
        <charset val="134"/>
      </rPr>
      <t>条</t>
    </r>
  </si>
  <si>
    <t>明确「严重违纪」具体情形与量化标准</t>
  </si>
  <si>
    <t>违纪标准模糊，据此解除被认定违法</t>
  </si>
  <si>
    <t>严重违纪怎么界定？有具体标准吗？</t>
  </si>
  <si>
    <t>奖惩管理办法</t>
  </si>
  <si>
    <t>★★★「辞得了人」的基础</t>
  </si>
  <si>
    <t>罚款条款合法</t>
  </si>
  <si>
    <t>《劳动法》；《工资支付暂行规定》</t>
  </si>
  <si>
    <t>企业无罚款权，不得克扣工资</t>
  </si>
  <si>
    <t>设罚款、押金、扣证件等违法内容</t>
  </si>
  <si>
    <t>制度里有罚款吗？怎么执行的？</t>
  </si>
  <si>
    <r>
      <rPr>
        <sz val="9"/>
        <color rgb="FF333333"/>
        <rFont val="Noto Sans CJK SC"/>
        <charset val="134"/>
      </rPr>
      <t>绩效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奖金机制替代罚款</t>
    </r>
  </si>
  <si>
    <t>制度合法性</t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</si>
  <si>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26/80</t>
    </r>
    <r>
      <rPr>
        <sz val="9"/>
        <color rgb="FF333333"/>
        <rFont val="Noto Sans CJK SC"/>
        <charset val="134"/>
      </rPr>
      <t>条</t>
    </r>
  </si>
  <si>
    <t>制度内容不得违法，不得「就低不就高」</t>
  </si>
  <si>
    <r>
      <rPr>
        <sz val="9"/>
        <color rgb="FF333333"/>
        <rFont val="Noto Sans CJK SC"/>
        <charset val="134"/>
      </rPr>
      <t>制度与法律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合同冲突，条款无效</t>
    </r>
  </si>
  <si>
    <t>制度内容与合同、法律有冲突吗？</t>
  </si>
  <si>
    <t>违法条款清理</t>
  </si>
  <si>
    <t>制度更新</t>
  </si>
  <si>
    <r>
      <rPr>
        <sz val="9"/>
        <color rgb="FF333333"/>
        <rFont val="Noto Sans CJK SC"/>
        <charset val="134"/>
      </rPr>
      <t>立法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司法动态</t>
    </r>
  </si>
  <si>
    <t>制度随新法、新司法解释及时修订</t>
  </si>
  <si>
    <t>多年未更新，与新规脱节</t>
  </si>
  <si>
    <t>制度多久更新一次？最近一次什么时候？</t>
  </si>
  <si>
    <t>定期修订机制</t>
  </si>
  <si>
    <t>处分程序</t>
  </si>
  <si>
    <t>设调查、申诉、送达等处分程序</t>
  </si>
  <si>
    <r>
      <rPr>
        <sz val="9"/>
        <color rgb="FF333333"/>
        <rFont val="Noto Sans CJK SC"/>
        <charset val="134"/>
      </rPr>
      <t>程序瑕疵导致处分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解除被推翻</t>
    </r>
  </si>
  <si>
    <t>违纪处理有调查、通知、申诉程序吗？</t>
  </si>
  <si>
    <r>
      <rPr>
        <sz val="9"/>
        <color rgb="FF333333"/>
        <rFont val="Noto Sans CJK SC"/>
        <charset val="134"/>
      </rPr>
      <t xml:space="preserve">违纪调查报告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流程</t>
    </r>
  </si>
  <si>
    <t>解除依据时效</t>
  </si>
  <si>
    <t>据以解除的制度须早于违纪行为、有效公示</t>
  </si>
  <si>
    <r>
      <rPr>
        <sz val="9"/>
        <color rgb="FF333333"/>
        <rFont val="Noto Sans CJK SC"/>
        <charset val="134"/>
      </rPr>
      <t>以事后制定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未公示条款解除，无效</t>
    </r>
  </si>
  <si>
    <t>用来解除的制度条款是什么时候定的？</t>
  </si>
  <si>
    <t>制度时间与公示有效性核对</t>
  </si>
  <si>
    <t>反职场性骚扰制度</t>
  </si>
  <si>
    <r>
      <rPr>
        <sz val="9"/>
        <color rgb="FF333333"/>
        <rFont val="Noto Sans CJK SC"/>
        <charset val="134"/>
      </rPr>
      <t>《妇女权益保障法》</t>
    </r>
    <r>
      <rPr>
        <sz val="9"/>
        <color rgb="FF333333"/>
        <rFont val="微软雅黑"/>
        <charset val="1"/>
      </rPr>
      <t>(2023)</t>
    </r>
    <r>
      <rPr>
        <sz val="9"/>
        <color rgb="FF333333"/>
        <rFont val="Noto Sans CJK SC"/>
        <charset val="134"/>
      </rPr>
      <t>；《民法典》第</t>
    </r>
    <r>
      <rPr>
        <sz val="9"/>
        <color rgb="FF333333"/>
        <rFont val="微软雅黑"/>
        <charset val="1"/>
      </rPr>
      <t>1010</t>
    </r>
    <r>
      <rPr>
        <sz val="9"/>
        <color rgb="FF333333"/>
        <rFont val="Noto Sans CJK SC"/>
        <charset val="134"/>
      </rPr>
      <t>条</t>
    </r>
  </si>
  <si>
    <t>建立预防与处置职场性骚扰的制度与投诉处理机制</t>
  </si>
  <si>
    <t>无防治机制，发生性骚扰用人单位担责、声誉受损</t>
  </si>
  <si>
    <t>是否有反性骚扰制度与投诉渠道？</t>
  </si>
  <si>
    <t>反性骚扰制度</t>
  </si>
  <si>
    <t>专项制度配套</t>
  </si>
  <si>
    <t>考勤、薪酬、差旅、奖惩、保密等专项制度与员工手册配套</t>
  </si>
  <si>
    <t>只有手册无专项制度，管理依据不足</t>
  </si>
  <si>
    <t>除手册外有哪些专项制度？是否成体系？</t>
  </si>
  <si>
    <t>专项制度清单</t>
  </si>
  <si>
    <t>信息与数据安全制度</t>
  </si>
  <si>
    <t>《数据安全法》《个人信息保护法》</t>
  </si>
  <si>
    <r>
      <rPr>
        <sz val="9"/>
        <color rgb="FF333333"/>
        <rFont val="Noto Sans CJK SC"/>
        <charset val="134"/>
      </rPr>
      <t>建立员工与客户信息、</t>
    </r>
    <r>
      <rPr>
        <sz val="9"/>
        <color rgb="FF333333"/>
        <rFont val="微软雅黑"/>
        <charset val="1"/>
      </rPr>
      <t>IT</t>
    </r>
    <r>
      <rPr>
        <sz val="9"/>
        <color rgb="FF333333"/>
        <rFont val="Noto Sans CJK SC"/>
        <charset val="134"/>
      </rPr>
      <t>使用、数据外发的管理制度</t>
    </r>
  </si>
  <si>
    <t>数据外泄、违规使用，合规与赔偿风险</t>
  </si>
  <si>
    <r>
      <rPr>
        <sz val="9"/>
        <color rgb="FF333333"/>
        <rFont val="Noto Sans CJK SC"/>
        <charset val="134"/>
      </rPr>
      <t>是否有</t>
    </r>
    <r>
      <rPr>
        <sz val="9"/>
        <color rgb="FF333333"/>
        <rFont val="微软雅黑"/>
        <charset val="1"/>
      </rPr>
      <t>IT</t>
    </r>
    <r>
      <rPr>
        <sz val="9"/>
        <color rgb="FF333333"/>
        <rFont val="Noto Sans CJK SC"/>
        <charset val="134"/>
      </rPr>
      <t>与数据安全制度？数据外发如何管控？</t>
    </r>
  </si>
  <si>
    <t>信息安全管理制度</t>
  </si>
  <si>
    <r>
      <rPr>
        <b/>
        <sz val="10"/>
        <color rgb="FF0C447C"/>
        <rFont val="Noto Sans CJK SC"/>
        <charset val="134"/>
      </rPr>
      <t>　⑤薪酬福利管控　（</t>
    </r>
    <r>
      <rPr>
        <b/>
        <sz val="10"/>
        <color rgb="FF0C447C"/>
        <rFont val="微软雅黑"/>
        <charset val="1"/>
      </rPr>
      <t xml:space="preserve">15 </t>
    </r>
    <r>
      <rPr>
        <b/>
        <sz val="10"/>
        <color rgb="FF0C447C"/>
        <rFont val="Noto Sans CJK SC"/>
        <charset val="134"/>
      </rPr>
      <t>项）</t>
    </r>
  </si>
  <si>
    <t>⑤薪酬福利管控</t>
  </si>
  <si>
    <t>工资结构清晰</t>
  </si>
  <si>
    <t>《关于工资总额组成的规定》</t>
  </si>
  <si>
    <r>
      <rPr>
        <sz val="9"/>
        <color rgb="FF333333"/>
        <rFont val="Noto Sans CJK SC"/>
        <charset val="134"/>
      </rPr>
      <t>工资构成清晰（基本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绩效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补贴），口径稳定</t>
    </r>
  </si>
  <si>
    <t>结构混同，经济补偿、加班费基数被做高</t>
  </si>
  <si>
    <t>工资由哪些部分构成？怎么发的？</t>
  </si>
  <si>
    <t>薪酬结构设计方案</t>
  </si>
  <si>
    <r>
      <rPr>
        <sz val="9"/>
        <color rgb="FF333333"/>
        <rFont val="Noto Sans CJK SC"/>
        <charset val="134"/>
      </rPr>
      <t>★★★结构层核心</t>
    </r>
    <r>
      <rPr>
        <sz val="9"/>
        <color rgb="FF333333"/>
        <rFont val="微软雅黑"/>
        <charset val="1"/>
      </rPr>
      <t>:</t>
    </r>
    <r>
      <rPr>
        <sz val="9"/>
        <color rgb="FF333333"/>
        <rFont val="Noto Sans CJK SC"/>
        <charset val="134"/>
      </rPr>
      <t>决定社保基数与加班费基数</t>
    </r>
  </si>
  <si>
    <t>最低工资</t>
  </si>
  <si>
    <t>《最低工资规定》</t>
  </si>
  <si>
    <t>实发不低于当地最低工资标准</t>
  </si>
  <si>
    <r>
      <rPr>
        <sz val="9"/>
        <color rgb="FF333333"/>
        <rFont val="Noto Sans CJK SC"/>
        <charset val="134"/>
      </rPr>
      <t>试用期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淡季实发低于最低工资</t>
    </r>
  </si>
  <si>
    <t>是否存在实发低于最低工资的情况？</t>
  </si>
  <si>
    <t>最低工资动态对标机制</t>
  </si>
  <si>
    <t>低于最低工资须补差</t>
  </si>
  <si>
    <t>加班费基数</t>
  </si>
  <si>
    <r>
      <rPr>
        <sz val="9"/>
        <color rgb="FF333333"/>
        <rFont val="Noto Sans CJK SC"/>
        <charset val="134"/>
      </rPr>
      <t>《劳动法》第</t>
    </r>
    <r>
      <rPr>
        <sz val="9"/>
        <color rgb="FF333333"/>
        <rFont val="微软雅黑"/>
        <charset val="1"/>
      </rPr>
      <t>44</t>
    </r>
    <r>
      <rPr>
        <sz val="9"/>
        <color rgb="FF333333"/>
        <rFont val="Noto Sans CJK SC"/>
        <charset val="134"/>
      </rPr>
      <t>条；地方规定</t>
    </r>
  </si>
  <si>
    <r>
      <rPr>
        <sz val="9"/>
        <color rgb="FF333333"/>
        <rFont val="Noto Sans CJK SC"/>
        <charset val="134"/>
      </rPr>
      <t>加班费基数依法（部分地区不得低于约定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标准）</t>
    </r>
  </si>
  <si>
    <t>加班费基数偏低，集体追溯</t>
  </si>
  <si>
    <t>加班费基数怎么定的？</t>
  </si>
  <si>
    <t>加班费基数口径方案</t>
  </si>
  <si>
    <r>
      <rPr>
        <sz val="9"/>
        <color rgb="FF333333"/>
        <rFont val="Noto Sans CJK SC"/>
        <charset val="134"/>
      </rPr>
      <t>依赖第</t>
    </r>
    <r>
      <rPr>
        <sz val="9"/>
        <color rgb="FF333333"/>
        <rFont val="微软雅黑"/>
        <charset val="1"/>
      </rPr>
      <t>70</t>
    </r>
    <r>
      <rPr>
        <sz val="9"/>
        <color rgb="FF333333"/>
        <rFont val="Noto Sans CJK SC"/>
        <charset val="134"/>
      </rPr>
      <t>项</t>
    </r>
  </si>
  <si>
    <t>工资支付周期</t>
  </si>
  <si>
    <t>《工资支付暂行规定》</t>
  </si>
  <si>
    <t>工资按月、按约定日期足额支付</t>
  </si>
  <si>
    <t>支付周期超月、发薪日不固定</t>
  </si>
  <si>
    <t>工资多久发一次？发薪日固定吗？</t>
  </si>
  <si>
    <t>按月足额发薪规范</t>
  </si>
  <si>
    <t>克扣与拖欠</t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</si>
  <si>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38</t>
    </r>
    <r>
      <rPr>
        <sz val="9"/>
        <color rgb="FF333333"/>
        <rFont val="Noto Sans CJK SC"/>
        <charset val="134"/>
      </rPr>
      <t>条；《保障农民工工资支付条例》</t>
    </r>
  </si>
  <si>
    <t>不得克扣、无故拖欠工资</t>
  </si>
  <si>
    <r>
      <rPr>
        <sz val="9"/>
        <color rgb="FF333333"/>
        <rFont val="Noto Sans CJK SC"/>
        <charset val="134"/>
      </rPr>
      <t>拖欠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克扣→被迫解除</t>
    </r>
    <r>
      <rPr>
        <sz val="9"/>
        <color rgb="FF333333"/>
        <rFont val="微软雅黑"/>
        <charset val="1"/>
      </rPr>
      <t>+</t>
    </r>
    <r>
      <rPr>
        <sz val="9"/>
        <color rgb="FF333333"/>
        <rFont val="Noto Sans CJK SC"/>
        <charset val="134"/>
      </rPr>
      <t>经济补偿</t>
    </r>
    <r>
      <rPr>
        <sz val="9"/>
        <color rgb="FF333333"/>
        <rFont val="微软雅黑"/>
        <charset val="1"/>
      </rPr>
      <t>+</t>
    </r>
    <r>
      <rPr>
        <sz val="9"/>
        <color rgb="FF333333"/>
        <rFont val="Noto Sans CJK SC"/>
        <charset val="134"/>
      </rPr>
      <t>监察处罚</t>
    </r>
  </si>
  <si>
    <t>有无拖欠、克扣、扣款情况？</t>
  </si>
  <si>
    <r>
      <rPr>
        <sz val="9"/>
        <color rgb="FF333333"/>
        <rFont val="Noto Sans CJK SC"/>
        <charset val="134"/>
      </rPr>
      <t xml:space="preserve">薪资台账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扣款规范</t>
    </r>
  </si>
  <si>
    <t>绩效扣减依据</t>
  </si>
  <si>
    <t>绩效考核与扣减须有制度依据并公示</t>
  </si>
  <si>
    <t>绩效扣款无依据被认定克扣</t>
  </si>
  <si>
    <t>绩效扣款有制度依据吗？公示了吗？</t>
  </si>
  <si>
    <t>绩效制度</t>
  </si>
  <si>
    <t>工资条</t>
  </si>
  <si>
    <t>提供工资条，明细透明</t>
  </si>
  <si>
    <t>工资条不透明，员工主张差额举证有利</t>
  </si>
  <si>
    <t>提供工资条吗？明细清楚吗？</t>
  </si>
  <si>
    <r>
      <rPr>
        <sz val="9"/>
        <color rgb="FF333333"/>
        <rFont val="Noto Sans CJK SC"/>
        <charset val="134"/>
      </rPr>
      <t xml:space="preserve">按月工资条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留痕</t>
    </r>
  </si>
  <si>
    <t>证据价值高、成本极低</t>
  </si>
  <si>
    <r>
      <rPr>
        <sz val="9"/>
        <color rgb="FF333333"/>
        <rFont val="Noto Sans CJK SC"/>
        <charset val="134"/>
      </rPr>
      <t>现金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私卡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阴阳工资</t>
    </r>
  </si>
  <si>
    <t>《个人所得税法》；金税四期</t>
  </si>
  <si>
    <t>工资对公代发、据实申报</t>
  </si>
  <si>
    <r>
      <rPr>
        <sz val="9"/>
        <color rgb="FF333333"/>
        <rFont val="Noto Sans CJK SC"/>
        <charset val="134"/>
      </rPr>
      <t>现金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私卡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阴阳工资逃税，留痕暴露</t>
    </r>
  </si>
  <si>
    <t>工资怎么发？是否有现金或私卡发薪？</t>
  </si>
  <si>
    <t>对公代发重构方案</t>
  </si>
  <si>
    <r>
      <rPr>
        <sz val="9"/>
        <color rgb="FF333333"/>
        <rFont val="Noto Sans CJK SC"/>
        <charset val="134"/>
      </rPr>
      <t>★税务负债每月在长</t>
    </r>
    <r>
      <rPr>
        <sz val="9"/>
        <color rgb="FF333333"/>
        <rFont val="微软雅黑"/>
        <charset val="1"/>
      </rPr>
      <t>;</t>
    </r>
    <r>
      <rPr>
        <sz val="9"/>
        <color rgb="FF333333"/>
        <rFont val="Noto Sans CJK SC"/>
        <charset val="134"/>
      </rPr>
      <t xml:space="preserve">须先解 </t>
    </r>
    <r>
      <rPr>
        <sz val="9"/>
        <color rgb="FF333333"/>
        <rFont val="微软雅黑"/>
        <charset val="1"/>
      </rPr>
      <t xml:space="preserve">L3 </t>
    </r>
    <r>
      <rPr>
        <sz val="9"/>
        <color rgb="FF333333"/>
        <rFont val="Noto Sans CJK SC"/>
        <charset val="134"/>
      </rPr>
      <t>薪酬结构</t>
    </r>
  </si>
  <si>
    <t>年终奖与提成</t>
  </si>
  <si>
    <t>《劳动合同法》；司法实践</t>
  </si>
  <si>
    <r>
      <rPr>
        <sz val="9"/>
        <color rgb="FF333333"/>
        <rFont val="Noto Sans CJK SC"/>
        <charset val="134"/>
      </rPr>
      <t>年终奖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提成发放条件书面明确</t>
    </r>
  </si>
  <si>
    <t>条件不明、离职不发引发争议</t>
  </si>
  <si>
    <t>年终奖、提成怎么约定的？离职发吗？</t>
  </si>
  <si>
    <r>
      <rPr>
        <sz val="9"/>
        <color rgb="FF333333"/>
        <rFont val="Noto Sans CJK SC"/>
        <charset val="134"/>
      </rPr>
      <t>提成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奖金方案</t>
    </r>
    <r>
      <rPr>
        <sz val="9"/>
        <color rgb="FF333333"/>
        <rFont val="微软雅黑"/>
        <charset val="1"/>
      </rPr>
      <t>(</t>
    </r>
    <r>
      <rPr>
        <sz val="9"/>
        <color rgb="FF333333"/>
        <rFont val="Noto Sans CJK SC"/>
        <charset val="134"/>
      </rPr>
      <t>含离职处理</t>
    </r>
    <r>
      <rPr>
        <sz val="9"/>
        <color rgb="FF333333"/>
        <rFont val="微软雅黑"/>
        <charset val="1"/>
      </rPr>
      <t>)</t>
    </r>
  </si>
  <si>
    <t>计件单价</t>
  </si>
  <si>
    <t>计件单价书面约定，不得随意下调</t>
  </si>
  <si>
    <t>计件单价单方下调，引发争议</t>
  </si>
  <si>
    <t>计件单价怎么定的？会调整吗？</t>
  </si>
  <si>
    <t>计件单价规则</t>
  </si>
  <si>
    <t>补偿基数计算</t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</si>
  <si>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47</t>
    </r>
    <r>
      <rPr>
        <sz val="9"/>
        <color rgb="FF333333"/>
        <rFont val="Noto Sans CJK SC"/>
        <charset val="134"/>
      </rPr>
      <t>条</t>
    </r>
  </si>
  <si>
    <r>
      <rPr>
        <sz val="9"/>
        <color rgb="FF333333"/>
        <rFont val="Noto Sans CJK SC"/>
        <charset val="134"/>
      </rPr>
      <t>经济补偿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代通知金基数按法定口径</t>
    </r>
  </si>
  <si>
    <r>
      <rPr>
        <sz val="9"/>
        <color rgb="FF333333"/>
        <rFont val="微软雅黑"/>
        <charset val="1"/>
      </rPr>
      <t>N</t>
    </r>
    <r>
      <rPr>
        <sz val="9"/>
        <color rgb="FF333333"/>
        <rFont val="Noto Sans CJK SC"/>
        <charset val="134"/>
      </rPr>
      <t>、</t>
    </r>
    <r>
      <rPr>
        <sz val="9"/>
        <color rgb="FF333333"/>
        <rFont val="微软雅黑"/>
        <charset val="1"/>
      </rPr>
      <t>N+1</t>
    </r>
    <r>
      <rPr>
        <sz val="9"/>
        <color rgb="FF333333"/>
        <rFont val="Noto Sans CJK SC"/>
        <charset val="134"/>
      </rPr>
      <t>、</t>
    </r>
    <r>
      <rPr>
        <sz val="9"/>
        <color rgb="FF333333"/>
        <rFont val="微软雅黑"/>
        <charset val="1"/>
      </rPr>
      <t>2N</t>
    </r>
    <r>
      <rPr>
        <sz val="9"/>
        <color rgb="FF333333"/>
        <rFont val="Noto Sans CJK SC"/>
        <charset val="134"/>
      </rPr>
      <t>基数算错，超付或被诉</t>
    </r>
  </si>
  <si>
    <t>离职补偿怎么算的？基数取什么？</t>
  </si>
  <si>
    <t>补偿计算表</t>
  </si>
  <si>
    <t>试用期工资合规</t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</si>
  <si>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20</t>
    </r>
    <r>
      <rPr>
        <sz val="9"/>
        <color rgb="FF333333"/>
        <rFont val="Noto Sans CJK SC"/>
        <charset val="134"/>
      </rPr>
      <t>条</t>
    </r>
  </si>
  <si>
    <r>
      <rPr>
        <sz val="9"/>
        <color rgb="FF333333"/>
        <rFont val="Noto Sans CJK SC"/>
        <charset val="134"/>
      </rPr>
      <t>试用期工资≥本单位同岗最低档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合同工资</t>
    </r>
    <r>
      <rPr>
        <sz val="9"/>
        <color rgb="FF333333"/>
        <rFont val="微软雅黑"/>
        <charset val="1"/>
      </rPr>
      <t>80%</t>
    </r>
    <r>
      <rPr>
        <sz val="9"/>
        <color rgb="FF333333"/>
        <rFont val="Noto Sans CJK SC"/>
        <charset val="134"/>
      </rPr>
      <t>，且≥最低工资</t>
    </r>
  </si>
  <si>
    <t>试用期工资过低，补差额并被监察处罚</t>
  </si>
  <si>
    <r>
      <rPr>
        <sz val="9"/>
        <color rgb="FF333333"/>
        <rFont val="Noto Sans CJK SC"/>
        <charset val="134"/>
      </rPr>
      <t>试用期工资怎么定？是否达</t>
    </r>
    <r>
      <rPr>
        <sz val="9"/>
        <color rgb="FF333333"/>
        <rFont val="微软雅黑"/>
        <charset val="1"/>
      </rPr>
      <t>80%</t>
    </r>
    <r>
      <rPr>
        <sz val="9"/>
        <color rgb="FF333333"/>
        <rFont val="Noto Sans CJK SC"/>
        <charset val="134"/>
      </rPr>
      <t>且不低于最低工资？</t>
    </r>
  </si>
  <si>
    <t>试用期工资标准</t>
  </si>
  <si>
    <t>待岗停工工资</t>
  </si>
  <si>
    <r>
      <rPr>
        <sz val="9"/>
        <color rgb="FF333333"/>
        <rFont val="Noto Sans CJK SC"/>
        <charset val="134"/>
      </rPr>
      <t>《工资支付暂行规定》第</t>
    </r>
    <r>
      <rPr>
        <sz val="9"/>
        <color rgb="FF333333"/>
        <rFont val="微软雅黑"/>
        <charset val="1"/>
      </rPr>
      <t>12</t>
    </r>
    <r>
      <rPr>
        <sz val="9"/>
        <color rgb="FF333333"/>
        <rFont val="Noto Sans CJK SC"/>
        <charset val="134"/>
      </rPr>
      <t>条；地方规定</t>
    </r>
  </si>
  <si>
    <r>
      <rPr>
        <sz val="9"/>
        <color rgb="FF333333"/>
        <rFont val="Noto Sans CJK SC"/>
        <charset val="134"/>
      </rPr>
      <t>停工停产首个周期付工资，之后付生活费</t>
    </r>
    <r>
      <rPr>
        <sz val="9"/>
        <color rgb="FF333333"/>
        <rFont val="微软雅黑"/>
        <charset val="1"/>
      </rPr>
      <t>(</t>
    </r>
    <r>
      <rPr>
        <sz val="9"/>
        <color rgb="FF333333"/>
        <rFont val="Noto Sans CJK SC"/>
        <charset val="134"/>
      </rPr>
      <t>不低于当地标准</t>
    </r>
    <r>
      <rPr>
        <sz val="9"/>
        <color rgb="FF333333"/>
        <rFont val="微软雅黑"/>
        <charset val="1"/>
      </rPr>
      <t>)</t>
    </r>
  </si>
  <si>
    <r>
      <rPr>
        <sz val="9"/>
        <color rgb="FF333333"/>
        <rFont val="Noto Sans CJK SC"/>
        <charset val="134"/>
      </rPr>
      <t>待岗期间不付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乱付工资，被迫解除</t>
    </r>
    <r>
      <rPr>
        <sz val="9"/>
        <color rgb="FF333333"/>
        <rFont val="微软雅黑"/>
        <charset val="1"/>
      </rPr>
      <t>+</t>
    </r>
    <r>
      <rPr>
        <sz val="9"/>
        <color rgb="FF333333"/>
        <rFont val="Noto Sans CJK SC"/>
        <charset val="134"/>
      </rPr>
      <t>补偿</t>
    </r>
  </si>
  <si>
    <r>
      <rPr>
        <sz val="9"/>
        <color rgb="FF333333"/>
        <rFont val="Noto Sans CJK SC"/>
        <charset val="134"/>
      </rPr>
      <t>有无待岗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停工情形？期间如何发放工资生活费？</t>
    </r>
  </si>
  <si>
    <t>待岗管理办法</t>
  </si>
  <si>
    <t>工资支付记录保存</t>
  </si>
  <si>
    <r>
      <rPr>
        <sz val="9"/>
        <color rgb="FF333333"/>
        <rFont val="Noto Sans CJK SC"/>
        <charset val="134"/>
      </rPr>
      <t>《工资支付暂行规定》第</t>
    </r>
    <r>
      <rPr>
        <sz val="9"/>
        <color rgb="FF333333"/>
        <rFont val="微软雅黑"/>
        <charset val="1"/>
      </rPr>
      <t>6</t>
    </r>
    <r>
      <rPr>
        <sz val="9"/>
        <color rgb="FF333333"/>
        <rFont val="Noto Sans CJK SC"/>
        <charset val="134"/>
      </rPr>
      <t>条</t>
    </r>
  </si>
  <si>
    <r>
      <rPr>
        <sz val="9"/>
        <color rgb="FF333333"/>
        <rFont val="Noto Sans CJK SC"/>
        <charset val="134"/>
      </rPr>
      <t>工资支付记录至少保存</t>
    </r>
    <r>
      <rPr>
        <sz val="9"/>
        <color rgb="FF333333"/>
        <rFont val="微软雅黑"/>
        <charset val="1"/>
      </rPr>
      <t>2</t>
    </r>
    <r>
      <rPr>
        <sz val="9"/>
        <color rgb="FF333333"/>
        <rFont val="Noto Sans CJK SC"/>
        <charset val="134"/>
      </rPr>
      <t>年备查</t>
    </r>
  </si>
  <si>
    <t>记录缺失，争议中举证不利</t>
  </si>
  <si>
    <t>工资表、工资条记录保存多久？能否调取？</t>
  </si>
  <si>
    <r>
      <rPr>
        <sz val="9"/>
        <color rgb="FF333333"/>
        <rFont val="Noto Sans CJK SC"/>
        <charset val="134"/>
      </rPr>
      <t xml:space="preserve">工资台账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归档</t>
    </r>
  </si>
  <si>
    <t>★举证关键</t>
  </si>
  <si>
    <t>法定津贴福利合规</t>
  </si>
  <si>
    <t>《防暑降温措施管理办法》等</t>
  </si>
  <si>
    <t>高温津贴、特殊岗位津贴等依规发放并合规计税</t>
  </si>
  <si>
    <t>漏发高温津贴等被投诉、补发</t>
  </si>
  <si>
    <r>
      <rPr>
        <sz val="9"/>
        <color rgb="FF333333"/>
        <rFont val="Noto Sans CJK SC"/>
        <charset val="134"/>
      </rPr>
      <t>是否有高温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特殊津贴？是否依规发放？</t>
    </r>
  </si>
  <si>
    <t>津贴发放标准</t>
  </si>
  <si>
    <t>关联社保基数排除项设计</t>
  </si>
  <si>
    <r>
      <rPr>
        <b/>
        <sz val="10"/>
        <color rgb="FF0C447C"/>
        <rFont val="Noto Sans CJK SC"/>
        <charset val="134"/>
      </rPr>
      <t>　⑥社保公积金管控　（</t>
    </r>
    <r>
      <rPr>
        <b/>
        <sz val="10"/>
        <color rgb="FF0C447C"/>
        <rFont val="微软雅黑"/>
        <charset val="1"/>
      </rPr>
      <t xml:space="preserve">13 </t>
    </r>
    <r>
      <rPr>
        <b/>
        <sz val="10"/>
        <color rgb="FF0C447C"/>
        <rFont val="Noto Sans CJK SC"/>
        <charset val="134"/>
      </rPr>
      <t>项）</t>
    </r>
  </si>
  <si>
    <t>⑥社保公积金管控</t>
  </si>
  <si>
    <t>应保尽保（入职即保）</t>
  </si>
  <si>
    <r>
      <rPr>
        <sz val="9"/>
        <color rgb="FF333333"/>
        <rFont val="Noto Sans CJK SC"/>
        <charset val="134"/>
      </rPr>
      <t>《社会保险法》第</t>
    </r>
    <r>
      <rPr>
        <sz val="9"/>
        <color rgb="FF333333"/>
        <rFont val="微软雅黑"/>
        <charset val="1"/>
      </rPr>
      <t>57/58</t>
    </r>
    <r>
      <rPr>
        <sz val="9"/>
        <color rgb="FF333333"/>
        <rFont val="Noto Sans CJK SC"/>
        <charset val="134"/>
      </rPr>
      <t>条</t>
    </r>
  </si>
  <si>
    <r>
      <rPr>
        <sz val="9"/>
        <color rgb="FF333333"/>
        <rFont val="Noto Sans CJK SC"/>
        <charset val="134"/>
      </rPr>
      <t>用工之日起</t>
    </r>
    <r>
      <rPr>
        <sz val="9"/>
        <color rgb="FF333333"/>
        <rFont val="微软雅黑"/>
        <charset val="1"/>
      </rPr>
      <t>30</t>
    </r>
    <r>
      <rPr>
        <sz val="9"/>
        <color rgb="FF333333"/>
        <rFont val="Noto Sans CJK SC"/>
        <charset val="134"/>
      </rPr>
      <t>日内办理社保参保登记</t>
    </r>
  </si>
  <si>
    <r>
      <rPr>
        <sz val="9"/>
        <color rgb="FF333333"/>
        <rFont val="Noto Sans CJK SC"/>
        <charset val="134"/>
      </rPr>
      <t>未参保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迟保→补缴</t>
    </r>
    <r>
      <rPr>
        <sz val="9"/>
        <color rgb="FF333333"/>
        <rFont val="微软雅黑"/>
        <charset val="1"/>
      </rPr>
      <t>+</t>
    </r>
    <r>
      <rPr>
        <sz val="9"/>
        <color rgb="FF333333"/>
        <rFont val="Noto Sans CJK SC"/>
        <charset val="134"/>
      </rPr>
      <t>滞纳金</t>
    </r>
    <r>
      <rPr>
        <sz val="9"/>
        <color rgb="FF333333"/>
        <rFont val="微软雅黑"/>
        <charset val="1"/>
      </rPr>
      <t>+</t>
    </r>
    <r>
      <rPr>
        <sz val="9"/>
        <color rgb="FF333333"/>
        <rFont val="Noto Sans CJK SC"/>
        <charset val="134"/>
      </rPr>
      <t>工伤全担</t>
    </r>
  </si>
  <si>
    <t>入职多久交社保？有无未参保人员？</t>
  </si>
  <si>
    <r>
      <rPr>
        <sz val="9"/>
        <color rgb="FF333333"/>
        <rFont val="Noto Sans CJK SC"/>
        <charset val="134"/>
      </rPr>
      <t xml:space="preserve">参保登记表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即保流程</t>
    </r>
  </si>
  <si>
    <r>
      <rPr>
        <sz val="9"/>
        <color rgb="FF333333"/>
        <rFont val="Noto Sans CJK SC"/>
        <charset val="134"/>
      </rPr>
      <t xml:space="preserve">存量未保→转 </t>
    </r>
    <r>
      <rPr>
        <sz val="9"/>
        <color rgb="FF333333"/>
        <rFont val="微软雅黑"/>
        <charset val="1"/>
      </rPr>
      <t xml:space="preserve">S </t>
    </r>
    <r>
      <rPr>
        <sz val="9"/>
        <color rgb="FF333333"/>
        <rFont val="Noto Sans CJK SC"/>
        <charset val="134"/>
      </rPr>
      <t>方案</t>
    </r>
  </si>
  <si>
    <t>放弃社保无效</t>
  </si>
  <si>
    <r>
      <rPr>
        <sz val="9"/>
        <color rgb="FF333333"/>
        <rFont val="Noto Sans CJK SC"/>
        <charset val="134"/>
      </rPr>
      <t>法释〔</t>
    </r>
    <r>
      <rPr>
        <sz val="9"/>
        <color rgb="FF333333"/>
        <rFont val="微软雅黑"/>
        <charset val="1"/>
      </rPr>
      <t>2025</t>
    </r>
    <r>
      <rPr>
        <sz val="9"/>
        <color rgb="FF333333"/>
        <rFont val="Noto Sans CJK SC"/>
        <charset val="134"/>
      </rPr>
      <t>〕</t>
    </r>
    <r>
      <rPr>
        <sz val="9"/>
        <color rgb="FF333333"/>
        <rFont val="微软雅黑"/>
        <charset val="1"/>
      </rPr>
      <t>12</t>
    </r>
    <r>
      <rPr>
        <sz val="9"/>
        <color rgb="FF333333"/>
        <rFont val="Noto Sans CJK SC"/>
        <charset val="134"/>
      </rPr>
      <t>号第十九条</t>
    </r>
  </si>
  <si>
    <t>「自愿放弃社保」约定一律无效</t>
  </si>
  <si>
    <r>
      <rPr>
        <sz val="9"/>
        <color rgb="FF333333"/>
        <rFont val="Noto Sans CJK SC"/>
        <charset val="134"/>
      </rPr>
      <t>凭放弃书未缴，仍被迫解除</t>
    </r>
    <r>
      <rPr>
        <sz val="9"/>
        <color rgb="FF333333"/>
        <rFont val="微软雅黑"/>
        <charset val="1"/>
      </rPr>
      <t>+</t>
    </r>
    <r>
      <rPr>
        <sz val="9"/>
        <color rgb="FF333333"/>
        <rFont val="Noto Sans CJK SC"/>
        <charset val="134"/>
      </rPr>
      <t>补缴</t>
    </r>
  </si>
  <si>
    <t>有无员工签过放弃社保承诺？</t>
  </si>
  <si>
    <r>
      <rPr>
        <sz val="9"/>
        <color rgb="FF333333"/>
        <rFont val="Noto Sans CJK SC"/>
        <charset val="134"/>
      </rPr>
      <t xml:space="preserve">放弃承诺清理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员工沟通方案</t>
    </r>
  </si>
  <si>
    <r>
      <rPr>
        <sz val="9"/>
        <color rgb="FF333333"/>
        <rFont val="Noto Sans CJK SC"/>
        <charset val="134"/>
      </rPr>
      <t>★需配套员工沟通</t>
    </r>
    <r>
      <rPr>
        <sz val="9"/>
        <color rgb="FF333333"/>
        <rFont val="微软雅黑"/>
        <charset val="1"/>
      </rPr>
      <t>,</t>
    </r>
    <r>
      <rPr>
        <sz val="9"/>
        <color rgb="FF333333"/>
        <rFont val="Noto Sans CJK SC"/>
        <charset val="134"/>
      </rPr>
      <t>防引爆</t>
    </r>
  </si>
  <si>
    <t>缴费基数足额</t>
  </si>
  <si>
    <r>
      <rPr>
        <sz val="9"/>
        <color rgb="FF333333"/>
        <rFont val="Noto Sans CJK SC"/>
        <charset val="134"/>
      </rPr>
      <t>《社会保险法》第</t>
    </r>
    <r>
      <rPr>
        <sz val="9"/>
        <color rgb="FF333333"/>
        <rFont val="微软雅黑"/>
        <charset val="1"/>
      </rPr>
      <t>60-63</t>
    </r>
    <r>
      <rPr>
        <sz val="9"/>
        <color rgb="FF333333"/>
        <rFont val="Noto Sans CJK SC"/>
        <charset val="134"/>
      </rPr>
      <t>条</t>
    </r>
  </si>
  <si>
    <t>按上年度月平均工资核定缴费基数</t>
  </si>
  <si>
    <r>
      <rPr>
        <sz val="9"/>
        <color rgb="FF333333"/>
        <rFont val="Noto Sans CJK SC"/>
        <charset val="134"/>
      </rPr>
      <t>按最低基数缴→补差额</t>
    </r>
    <r>
      <rPr>
        <sz val="9"/>
        <color rgb="FF333333"/>
        <rFont val="微软雅黑"/>
        <charset val="1"/>
      </rPr>
      <t>+</t>
    </r>
    <r>
      <rPr>
        <sz val="9"/>
        <color rgb="FF333333"/>
        <rFont val="Noto Sans CJK SC"/>
        <charset val="134"/>
      </rPr>
      <t>滞纳金</t>
    </r>
  </si>
  <si>
    <t>社保基数怎么定的？是否按最低基数？</t>
  </si>
  <si>
    <r>
      <rPr>
        <sz val="9"/>
        <color rgb="FF333333"/>
        <rFont val="Noto Sans CJK SC"/>
        <charset val="134"/>
      </rPr>
      <t xml:space="preserve">基数测算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三年过渡方案</t>
    </r>
  </si>
  <si>
    <t>★★★合规线王牌产品</t>
  </si>
  <si>
    <t>三表一致</t>
  </si>
  <si>
    <r>
      <rPr>
        <sz val="9"/>
        <color rgb="FF333333"/>
        <rFont val="Noto Sans CJK SC"/>
        <charset val="134"/>
      </rPr>
      <t>税</t>
    </r>
    <r>
      <rPr>
        <sz val="9"/>
        <color rgb="FF333333"/>
        <rFont val="微软雅黑"/>
        <charset val="1"/>
      </rPr>
      <t>·</t>
    </r>
    <r>
      <rPr>
        <sz val="9"/>
        <color rgb="FF333333"/>
        <rFont val="Noto Sans CJK SC"/>
        <charset val="134"/>
      </rPr>
      <t>法</t>
    </r>
  </si>
  <si>
    <t>金税四期；《个人所得税法》</t>
  </si>
  <si>
    <r>
      <rPr>
        <sz val="9"/>
        <color rgb="FF333333"/>
        <rFont val="Noto Sans CJK SC"/>
        <charset val="134"/>
      </rPr>
      <t>工资表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个税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社保基数口径一致</t>
    </r>
  </si>
  <si>
    <t>三表不符触发预警、全员历史追溯</t>
  </si>
  <si>
    <t>工资、个税、社保数据一致吗？</t>
  </si>
  <si>
    <t>三表口径统一方案</t>
  </si>
  <si>
    <t>试用期参保</t>
  </si>
  <si>
    <t>《社会保险法》</t>
  </si>
  <si>
    <t>试用期同样应依法参保</t>
  </si>
  <si>
    <t>「转正后再缴」违法</t>
  </si>
  <si>
    <t>试用期交社保吗？</t>
  </si>
  <si>
    <t>试用期即参保</t>
  </si>
  <si>
    <t>补贴换社保</t>
  </si>
  <si>
    <t>不得以现金补贴替代社保缴纳</t>
  </si>
  <si>
    <t>补贴换社保约定无效，仍须补缴</t>
  </si>
  <si>
    <t>有无以补贴替代社保的安排？</t>
  </si>
  <si>
    <t>补贴换保清理方案</t>
  </si>
  <si>
    <t>公积金缴存</t>
  </si>
  <si>
    <t>《住房公积金管理条例》</t>
  </si>
  <si>
    <t>依法为职工缴存住房公积金</t>
  </si>
  <si>
    <t>未缴公积金→投诉、处罚、强制补缴</t>
  </si>
  <si>
    <t>缴公积金吗？覆盖全员吗？</t>
  </si>
  <si>
    <t>公积金开缴与比例节奏方案</t>
  </si>
  <si>
    <t>★比例区间是重要缓冲工具</t>
  </si>
  <si>
    <r>
      <rPr>
        <sz val="9"/>
        <color rgb="FF333333"/>
        <rFont val="Noto Sans CJK SC"/>
        <charset val="134"/>
      </rPr>
      <t>挂靠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代缴</t>
    </r>
  </si>
  <si>
    <t>《社会保险法》；社保入税</t>
  </si>
  <si>
    <r>
      <rPr>
        <sz val="9"/>
        <color rgb="FF333333"/>
        <rFont val="Noto Sans CJK SC"/>
        <charset val="134"/>
      </rPr>
      <t>不得为非本单位人员挂靠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代缴</t>
    </r>
  </si>
  <si>
    <t>挂靠代缴涉嫌骗保</t>
  </si>
  <si>
    <t>有无社保挂靠或第三方代缴？</t>
  </si>
  <si>
    <t>挂靠代缴清理方案</t>
  </si>
  <si>
    <t>参保地</t>
  </si>
  <si>
    <t>社保属地政策</t>
  </si>
  <si>
    <r>
      <rPr>
        <sz val="9"/>
        <color rgb="FF333333"/>
        <rFont val="Noto Sans CJK SC"/>
        <charset val="134"/>
      </rPr>
      <t>按实际用工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驻派选择参保地</t>
    </r>
  </si>
  <si>
    <t>参保地错误，待遇与稽核风险</t>
  </si>
  <si>
    <r>
      <rPr>
        <sz val="9"/>
        <color rgb="FF333333"/>
        <rFont val="Noto Sans CJK SC"/>
        <charset val="134"/>
      </rPr>
      <t>异地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派驻人员在哪参保？</t>
    </r>
  </si>
  <si>
    <t>多地参保地方案</t>
  </si>
  <si>
    <t>生育保险</t>
  </si>
  <si>
    <t>《社会保险法》；《女职工劳动保护特别规定》</t>
  </si>
  <si>
    <t>依法缴纳生育保险</t>
  </si>
  <si>
    <t>漏缴生育险，生育津贴企业垫付</t>
  </si>
  <si>
    <t>生育保险缴了吗？</t>
  </si>
  <si>
    <t>险种补齐</t>
  </si>
  <si>
    <t>工伤前参保</t>
  </si>
  <si>
    <r>
      <rPr>
        <sz val="9"/>
        <color rgb="FF333333"/>
        <rFont val="Noto Sans CJK SC"/>
        <charset val="134"/>
      </rPr>
      <t>《工伤保险条例》第</t>
    </r>
    <r>
      <rPr>
        <sz val="9"/>
        <color rgb="FF333333"/>
        <rFont val="微软雅黑"/>
        <charset val="1"/>
      </rPr>
      <t>62</t>
    </r>
    <r>
      <rPr>
        <sz val="9"/>
        <color rgb="FF333333"/>
        <rFont val="Noto Sans CJK SC"/>
        <charset val="134"/>
      </rPr>
      <t>条</t>
    </r>
  </si>
  <si>
    <t>确保工伤发生前已参加工伤保险</t>
  </si>
  <si>
    <t>未参保发生工伤→全额待遇企业承担</t>
  </si>
  <si>
    <t>工伤保险全员参保了吗？</t>
  </si>
  <si>
    <t>工伤险全覆盖</t>
  </si>
  <si>
    <r>
      <rPr>
        <sz val="9"/>
        <color rgb="FF333333"/>
        <rFont val="Noto Sans CJK SC"/>
        <charset val="134"/>
      </rPr>
      <t>★★★单项优先级最高</t>
    </r>
    <r>
      <rPr>
        <sz val="9"/>
        <color rgb="FF333333"/>
        <rFont val="微软雅黑"/>
        <charset val="1"/>
      </rPr>
      <t>:</t>
    </r>
    <r>
      <rPr>
        <sz val="9"/>
        <color rgb="FF333333"/>
        <rFont val="Noto Sans CJK SC"/>
        <charset val="134"/>
      </rPr>
      <t>单次事故即致命</t>
    </r>
  </si>
  <si>
    <t>五险齐全不漏险</t>
  </si>
  <si>
    <t>养老、医疗、失业、工伤、生育五险齐全，不得选择性参保</t>
  </si>
  <si>
    <r>
      <rPr>
        <sz val="9"/>
        <color rgb="FF333333"/>
        <rFont val="Noto Sans CJK SC"/>
        <charset val="134"/>
      </rPr>
      <t>漏缴失业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生育等险种，待遇由企业承担</t>
    </r>
  </si>
  <si>
    <t>五险是否齐全？有无只缴部分险种？</t>
  </si>
  <si>
    <t>参保险种核对表</t>
  </si>
  <si>
    <t>社保转移与断缴接续</t>
  </si>
  <si>
    <r>
      <rPr>
        <sz val="9"/>
        <color rgb="FF333333"/>
        <rFont val="Noto Sans CJK SC"/>
        <charset val="134"/>
      </rPr>
      <t>人</t>
    </r>
    <r>
      <rPr>
        <sz val="9"/>
        <color rgb="FF333333"/>
        <rFont val="微软雅黑"/>
        <charset val="1"/>
      </rPr>
      <t>·</t>
    </r>
    <r>
      <rPr>
        <sz val="9"/>
        <color rgb="FF333333"/>
        <rFont val="Noto Sans CJK SC"/>
        <charset val="134"/>
      </rPr>
      <t>管</t>
    </r>
  </si>
  <si>
    <t>社保转移接续规定</t>
  </si>
  <si>
    <t>入离职、跨地参保的增减员与转移接续及时办理</t>
  </si>
  <si>
    <t>断缴影响待遇、引发员工不满与争议</t>
  </si>
  <si>
    <t>入离职社保起停时点？跨地如何转移？</t>
  </si>
  <si>
    <t>社保经办流程</t>
  </si>
  <si>
    <r>
      <rPr>
        <b/>
        <sz val="10"/>
        <color rgb="FF0C447C"/>
        <rFont val="Noto Sans CJK SC"/>
        <charset val="134"/>
      </rPr>
      <t>　⑦工伤职业病管控　（</t>
    </r>
    <r>
      <rPr>
        <b/>
        <sz val="10"/>
        <color rgb="FF0C447C"/>
        <rFont val="微软雅黑"/>
        <charset val="1"/>
      </rPr>
      <t xml:space="preserve">15 </t>
    </r>
    <r>
      <rPr>
        <b/>
        <sz val="10"/>
        <color rgb="FF0C447C"/>
        <rFont val="Noto Sans CJK SC"/>
        <charset val="134"/>
      </rPr>
      <t>项）</t>
    </r>
  </si>
  <si>
    <t>⑦工伤职业病管控</t>
  </si>
  <si>
    <t>工伤保险参保</t>
  </si>
  <si>
    <r>
      <rPr>
        <sz val="9"/>
        <color rgb="FF333333"/>
        <rFont val="Noto Sans CJK SC"/>
        <charset val="134"/>
      </rPr>
      <t>《工伤保险条例》第</t>
    </r>
    <r>
      <rPr>
        <sz val="9"/>
        <color rgb="FF333333"/>
        <rFont val="微软雅黑"/>
        <charset val="1"/>
      </rPr>
      <t>2</t>
    </r>
    <r>
      <rPr>
        <sz val="9"/>
        <color rgb="FF333333"/>
        <rFont val="Noto Sans CJK SC"/>
        <charset val="134"/>
      </rPr>
      <t>条</t>
    </r>
  </si>
  <si>
    <t>全员（含特殊用工）参加工伤保险</t>
  </si>
  <si>
    <t>未参保发生工伤全额自担</t>
  </si>
  <si>
    <r>
      <rPr>
        <sz val="9"/>
        <color rgb="FF333333"/>
        <rFont val="Noto Sans CJK SC"/>
        <charset val="134"/>
      </rPr>
      <t>工伤保险覆盖全员吗（含派遣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返聘）？</t>
    </r>
  </si>
  <si>
    <r>
      <rPr>
        <sz val="9"/>
        <color rgb="FF333333"/>
        <rFont val="Noto Sans CJK SC"/>
        <charset val="134"/>
      </rPr>
      <t xml:space="preserve">参保台账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全覆盖</t>
    </r>
  </si>
  <si>
    <r>
      <rPr>
        <sz val="9"/>
        <color rgb="FF333333"/>
        <rFont val="Noto Sans CJK SC"/>
        <charset val="134"/>
      </rPr>
      <t>★★★与第</t>
    </r>
    <r>
      <rPr>
        <sz val="9"/>
        <color rgb="FF333333"/>
        <rFont val="微软雅黑"/>
        <charset val="1"/>
      </rPr>
      <t>95</t>
    </r>
    <r>
      <rPr>
        <sz val="9"/>
        <color rgb="FF333333"/>
        <rFont val="Noto Sans CJK SC"/>
        <charset val="134"/>
      </rPr>
      <t>项同为最高优先级</t>
    </r>
  </si>
  <si>
    <t>工伤认定情形</t>
  </si>
  <si>
    <r>
      <rPr>
        <sz val="9"/>
        <color rgb="FF333333"/>
        <rFont val="Noto Sans CJK SC"/>
        <charset val="134"/>
      </rPr>
      <t>《工伤保险条例》第</t>
    </r>
    <r>
      <rPr>
        <sz val="9"/>
        <color rgb="FF333333"/>
        <rFont val="微软雅黑"/>
        <charset val="1"/>
      </rPr>
      <t>14</t>
    </r>
    <r>
      <rPr>
        <sz val="9"/>
        <color rgb="FF333333"/>
        <rFont val="Noto Sans CJK SC"/>
        <charset val="134"/>
      </rPr>
      <t>条</t>
    </r>
  </si>
  <si>
    <t>准确识别应认定工伤情形（含上下班途中非主责交通事故）</t>
  </si>
  <si>
    <t>认定错误或拖延，扩大损失</t>
  </si>
  <si>
    <t>是否了解工伤认定情形？</t>
  </si>
  <si>
    <t>工伤认定培训</t>
  </si>
  <si>
    <t>视同工伤</t>
  </si>
  <si>
    <r>
      <rPr>
        <sz val="9"/>
        <color rgb="FF333333"/>
        <rFont val="Noto Sans CJK SC"/>
        <charset val="134"/>
      </rPr>
      <t>《工伤保险条例》第</t>
    </r>
    <r>
      <rPr>
        <sz val="9"/>
        <color rgb="FF333333"/>
        <rFont val="微软雅黑"/>
        <charset val="1"/>
      </rPr>
      <t>15</t>
    </r>
    <r>
      <rPr>
        <sz val="9"/>
        <color rgb="FF333333"/>
        <rFont val="Noto Sans CJK SC"/>
        <charset val="134"/>
      </rPr>
      <t>条</t>
    </r>
  </si>
  <si>
    <r>
      <rPr>
        <sz val="9"/>
        <color rgb="FF333333"/>
        <rFont val="Noto Sans CJK SC"/>
        <charset val="134"/>
      </rPr>
      <t>工作时间岗位突发疾病</t>
    </r>
    <r>
      <rPr>
        <sz val="9"/>
        <color rgb="FF333333"/>
        <rFont val="微软雅黑"/>
        <charset val="1"/>
      </rPr>
      <t>48</t>
    </r>
    <r>
      <rPr>
        <sz val="9"/>
        <color rgb="FF333333"/>
        <rFont val="Noto Sans CJK SC"/>
        <charset val="134"/>
      </rPr>
      <t>小时内死亡视同工伤</t>
    </r>
  </si>
  <si>
    <t>误判视同工伤情形</t>
  </si>
  <si>
    <t>是否了解视同工伤情形？</t>
  </si>
  <si>
    <t>视同工伤处理指引</t>
  </si>
  <si>
    <r>
      <rPr>
        <sz val="9"/>
        <color rgb="FF333333"/>
        <rFont val="微软雅黑"/>
        <charset val="1"/>
      </rPr>
      <t>30</t>
    </r>
    <r>
      <rPr>
        <sz val="9"/>
        <color rgb="FF333333"/>
        <rFont val="Noto Sans CJK SC"/>
        <charset val="134"/>
      </rPr>
      <t>日申报</t>
    </r>
  </si>
  <si>
    <r>
      <rPr>
        <sz val="9"/>
        <color rgb="FF333333"/>
        <rFont val="Noto Sans CJK SC"/>
        <charset val="134"/>
      </rPr>
      <t>《工伤保险条例》第</t>
    </r>
    <r>
      <rPr>
        <sz val="9"/>
        <color rgb="FF333333"/>
        <rFont val="微软雅黑"/>
        <charset val="1"/>
      </rPr>
      <t>17</t>
    </r>
    <r>
      <rPr>
        <sz val="9"/>
        <color rgb="FF333333"/>
        <rFont val="Noto Sans CJK SC"/>
        <charset val="134"/>
      </rPr>
      <t>条</t>
    </r>
  </si>
  <si>
    <r>
      <rPr>
        <sz val="9"/>
        <color rgb="FF333333"/>
        <rFont val="Noto Sans CJK SC"/>
        <charset val="134"/>
      </rPr>
      <t>用人单位</t>
    </r>
    <r>
      <rPr>
        <sz val="9"/>
        <color rgb="FF333333"/>
        <rFont val="微软雅黑"/>
        <charset val="1"/>
      </rPr>
      <t>30</t>
    </r>
    <r>
      <rPr>
        <sz val="9"/>
        <color rgb="FF333333"/>
        <rFont val="Noto Sans CJK SC"/>
        <charset val="134"/>
      </rPr>
      <t>日内申报工伤</t>
    </r>
  </si>
  <si>
    <t>逾期未报，期间费用由企业承担</t>
  </si>
  <si>
    <t>工伤多久申报？谁负责？</t>
  </si>
  <si>
    <r>
      <rPr>
        <sz val="9"/>
        <color rgb="FF333333"/>
        <rFont val="Noto Sans CJK SC"/>
        <charset val="134"/>
      </rPr>
      <t>工伤申报</t>
    </r>
    <r>
      <rPr>
        <sz val="9"/>
        <color rgb="FF333333"/>
        <rFont val="微软雅黑"/>
        <charset val="1"/>
      </rPr>
      <t>SOP</t>
    </r>
  </si>
  <si>
    <r>
      <rPr>
        <sz val="9"/>
        <color rgb="FF333333"/>
        <rFont val="Noto Sans CJK SC"/>
        <charset val="134"/>
      </rPr>
      <t>★超期由企业自负</t>
    </r>
    <r>
      <rPr>
        <sz val="9"/>
        <color rgb="FF333333"/>
        <rFont val="微软雅黑"/>
        <charset val="1"/>
      </rPr>
      <t>,</t>
    </r>
    <r>
      <rPr>
        <sz val="9"/>
        <color rgb="FF333333"/>
        <rFont val="Noto Sans CJK SC"/>
        <charset val="134"/>
      </rPr>
      <t>是纯负债</t>
    </r>
  </si>
  <si>
    <t>停工留薪待遇</t>
  </si>
  <si>
    <r>
      <rPr>
        <sz val="9"/>
        <color rgb="FF333333"/>
        <rFont val="Noto Sans CJK SC"/>
        <charset val="134"/>
      </rPr>
      <t>《工伤保险条例》第</t>
    </r>
    <r>
      <rPr>
        <sz val="9"/>
        <color rgb="FF333333"/>
        <rFont val="微软雅黑"/>
        <charset val="1"/>
      </rPr>
      <t>33</t>
    </r>
    <r>
      <rPr>
        <sz val="9"/>
        <color rgb="FF333333"/>
        <rFont val="Noto Sans CJK SC"/>
        <charset val="134"/>
      </rPr>
      <t>条</t>
    </r>
  </si>
  <si>
    <t>依法支付停工留薪工资、护理费等</t>
  </si>
  <si>
    <r>
      <rPr>
        <sz val="9"/>
        <color rgb="FF333333"/>
        <rFont val="Noto Sans CJK SC"/>
        <charset val="134"/>
      </rPr>
      <t>待遇漏算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少付引发争议</t>
    </r>
  </si>
  <si>
    <t>工伤待遇怎么算？</t>
  </si>
  <si>
    <t>工伤待遇核算规范</t>
  </si>
  <si>
    <t>工伤私了</t>
  </si>
  <si>
    <t>《工伤保险条例》</t>
  </si>
  <si>
    <t>私了不得低于法定标准，宜认定后再谈</t>
  </si>
  <si>
    <t>私了金额过低，事后被推翻</t>
  </si>
  <si>
    <t>工伤怎么处理？有私了吗？</t>
  </si>
  <si>
    <r>
      <rPr>
        <sz val="9"/>
        <color rgb="FF333333"/>
        <rFont val="Noto Sans CJK SC"/>
        <charset val="134"/>
      </rPr>
      <t>工伤和解协议</t>
    </r>
    <r>
      <rPr>
        <sz val="9"/>
        <color rgb="FF333333"/>
        <rFont val="微软雅黑"/>
        <charset val="1"/>
      </rPr>
      <t>(</t>
    </r>
    <r>
      <rPr>
        <sz val="9"/>
        <color rgb="FF333333"/>
        <rFont val="Noto Sans CJK SC"/>
        <charset val="134"/>
      </rPr>
      <t>一事一议</t>
    </r>
    <r>
      <rPr>
        <sz val="9"/>
        <color rgb="FF333333"/>
        <rFont val="微软雅黑"/>
        <charset val="1"/>
      </rPr>
      <t>)</t>
    </r>
  </si>
  <si>
    <r>
      <rPr>
        <sz val="9"/>
        <color rgb="FF333333"/>
        <rFont val="Noto Sans CJK SC"/>
        <charset val="134"/>
      </rPr>
      <t>风控线</t>
    </r>
    <r>
      <rPr>
        <sz val="9"/>
        <color rgb="FF333333"/>
        <rFont val="微软雅黑"/>
        <charset val="1"/>
      </rPr>
      <t>·</t>
    </r>
    <r>
      <rPr>
        <sz val="9"/>
        <color rgb="FF333333"/>
        <rFont val="Noto Sans CJK SC"/>
        <charset val="134"/>
      </rPr>
      <t>个案</t>
    </r>
  </si>
  <si>
    <r>
      <rPr>
        <sz val="9"/>
        <color rgb="FF333333"/>
        <rFont val="Noto Sans CJK SC"/>
        <charset val="134"/>
      </rPr>
      <t>事件驱动</t>
    </r>
    <r>
      <rPr>
        <sz val="9"/>
        <color rgb="FF333333"/>
        <rFont val="微软雅黑"/>
        <charset val="1"/>
      </rPr>
      <t>,</t>
    </r>
    <r>
      <rPr>
        <sz val="9"/>
        <color rgb="FF333333"/>
        <rFont val="Noto Sans CJK SC"/>
        <charset val="134"/>
      </rPr>
      <t>不进合规分期</t>
    </r>
  </si>
  <si>
    <r>
      <rPr>
        <sz val="9"/>
        <color rgb="FF333333"/>
        <rFont val="Noto Sans CJK SC"/>
        <charset val="134"/>
      </rPr>
      <t>超龄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返聘工伤</t>
    </r>
  </si>
  <si>
    <r>
      <rPr>
        <sz val="9"/>
        <color rgb="FF333333"/>
        <rFont val="Noto Sans CJK SC"/>
        <charset val="134"/>
      </rPr>
      <t>人社部令第</t>
    </r>
    <r>
      <rPr>
        <sz val="9"/>
        <color rgb="FF333333"/>
        <rFont val="微软雅黑"/>
        <charset val="1"/>
      </rPr>
      <t>56</t>
    </r>
    <r>
      <rPr>
        <sz val="9"/>
        <color rgb="FF333333"/>
        <rFont val="Noto Sans CJK SC"/>
        <charset val="134"/>
      </rPr>
      <t>号</t>
    </r>
  </si>
  <si>
    <r>
      <rPr>
        <sz val="9"/>
        <color rgb="FF333333"/>
        <rFont val="Noto Sans CJK SC"/>
        <charset val="134"/>
      </rPr>
      <t>超龄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返聘人员工伤责任不可豁免</t>
    </r>
  </si>
  <si>
    <t>未保障的超龄工伤企业独担</t>
  </si>
  <si>
    <r>
      <rPr>
        <sz val="9"/>
        <color rgb="FF333333"/>
        <rFont val="Noto Sans CJK SC"/>
        <charset val="134"/>
      </rPr>
      <t>返聘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超龄人员工伤如何保障？</t>
    </r>
  </si>
  <si>
    <r>
      <rPr>
        <sz val="9"/>
        <color rgb="FF333333"/>
        <rFont val="Noto Sans CJK SC"/>
        <charset val="134"/>
      </rPr>
      <t xml:space="preserve">雇主责任险 </t>
    </r>
    <r>
      <rPr>
        <sz val="9"/>
        <color rgb="FF333333"/>
        <rFont val="微软雅黑"/>
        <charset val="1"/>
      </rPr>
      <t xml:space="preserve">/ </t>
    </r>
    <r>
      <rPr>
        <sz val="9"/>
        <color rgb="FF333333"/>
        <rFont val="Noto Sans CJK SC"/>
        <charset val="134"/>
      </rPr>
      <t>单独参保方案</t>
    </r>
  </si>
  <si>
    <r>
      <rPr>
        <sz val="9"/>
        <color rgb="FF333333"/>
        <rFont val="Noto Sans CJK SC"/>
        <charset val="134"/>
      </rPr>
      <t>人社部令第</t>
    </r>
    <r>
      <rPr>
        <sz val="9"/>
        <color rgb="FF333333"/>
        <rFont val="微软雅黑"/>
        <charset val="1"/>
      </rPr>
      <t>56</t>
    </r>
    <r>
      <rPr>
        <sz val="9"/>
        <color rgb="FF333333"/>
        <rFont val="Noto Sans CJK SC"/>
        <charset val="134"/>
      </rPr>
      <t>号已生效</t>
    </r>
    <r>
      <rPr>
        <sz val="9"/>
        <color rgb="FF333333"/>
        <rFont val="微软雅黑"/>
        <charset val="1"/>
      </rPr>
      <t>,</t>
    </r>
    <r>
      <rPr>
        <sz val="9"/>
        <color rgb="FF333333"/>
        <rFont val="Noto Sans CJK SC"/>
        <charset val="134"/>
      </rPr>
      <t>须重新评估</t>
    </r>
  </si>
  <si>
    <t>证据留存</t>
  </si>
  <si>
    <t>——</t>
  </si>
  <si>
    <t>事故现场监控、记录、报告留存</t>
  </si>
  <si>
    <t>现场无证据，工伤认定困难</t>
  </si>
  <si>
    <r>
      <rPr>
        <sz val="9"/>
        <color rgb="FF333333"/>
        <rFont val="Noto Sans CJK SC"/>
        <charset val="134"/>
      </rPr>
      <t>工伤现场有记录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监控吗？</t>
    </r>
  </si>
  <si>
    <r>
      <rPr>
        <sz val="9"/>
        <color rgb="FF333333"/>
        <rFont val="Noto Sans CJK SC"/>
        <charset val="134"/>
      </rPr>
      <t xml:space="preserve">事故报告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证据链</t>
    </r>
  </si>
  <si>
    <t>第三方工伤</t>
  </si>
  <si>
    <t>《工伤保险条例》；侵权责任</t>
  </si>
  <si>
    <t>第三方侵权工伤可获双重赔偿</t>
  </si>
  <si>
    <t>处理不当扩大支出或纠纷</t>
  </si>
  <si>
    <t>涉第三方（交通）工伤如何处理？</t>
  </si>
  <si>
    <t>第三方工伤处理指引</t>
  </si>
  <si>
    <t>职业病防护</t>
  </si>
  <si>
    <t>《职业病防治法》</t>
  </si>
  <si>
    <t>职业病防护、危害告知、岗前在岗离岗体检</t>
  </si>
  <si>
    <t>防护缺失引发集体职业病</t>
  </si>
  <si>
    <t>职业病岗位有防护和体检吗？</t>
  </si>
  <si>
    <t>职业病防治体系方案</t>
  </si>
  <si>
    <r>
      <rPr>
        <sz val="9"/>
        <color rgb="FF333333"/>
        <rFont val="Noto Sans CJK SC"/>
        <charset val="134"/>
      </rPr>
      <t>涉职业病企业</t>
    </r>
    <r>
      <rPr>
        <sz val="9"/>
        <color rgb="FF333333"/>
        <rFont val="微软雅黑"/>
        <charset val="1"/>
      </rPr>
      <t>:</t>
    </r>
    <r>
      <rPr>
        <sz val="9"/>
        <color rgb="FF333333"/>
        <rFont val="Noto Sans CJK SC"/>
        <charset val="134"/>
      </rPr>
      <t>此项优先级等同工伤参保</t>
    </r>
  </si>
  <si>
    <t>补充保险</t>
  </si>
  <si>
    <r>
      <rPr>
        <sz val="9"/>
        <color rgb="FF333333"/>
        <rFont val="Noto Sans CJK SC"/>
        <charset val="134"/>
      </rPr>
      <t>管</t>
    </r>
    <r>
      <rPr>
        <sz val="9"/>
        <color rgb="FF333333"/>
        <rFont val="微软雅黑"/>
        <charset val="1"/>
      </rPr>
      <t>·</t>
    </r>
    <r>
      <rPr>
        <sz val="9"/>
        <color rgb="FF333333"/>
        <rFont val="Noto Sans CJK SC"/>
        <charset val="134"/>
      </rPr>
      <t>业</t>
    </r>
  </si>
  <si>
    <r>
      <rPr>
        <sz val="9"/>
        <color rgb="FF333333"/>
        <rFont val="Noto Sans CJK SC"/>
        <charset val="134"/>
      </rPr>
      <t>高风险岗位配置雇主责任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补充工伤险</t>
    </r>
  </si>
  <si>
    <t>工伤赔付冲击现金流</t>
  </si>
  <si>
    <r>
      <rPr>
        <sz val="9"/>
        <color rgb="FF333333"/>
        <rFont val="Noto Sans CJK SC"/>
        <charset val="134"/>
      </rPr>
      <t>是否投保雇主责任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补充工伤险？</t>
    </r>
  </si>
  <si>
    <t>补充保障组合设计</t>
  </si>
  <si>
    <t>★成本对冲工具</t>
  </si>
  <si>
    <t>上下班途中工伤认定</t>
  </si>
  <si>
    <t>上下班合理路线、非本人主要责任交通事故认定为工伤</t>
  </si>
  <si>
    <t>误判不予认定，后续被认定扩大赔偿</t>
  </si>
  <si>
    <t>是否发生过通勤事故？如何认定与处理？</t>
  </si>
  <si>
    <t>通勤事故处理指引</t>
  </si>
  <si>
    <t>一次性伤残就业补助金</t>
  </si>
  <si>
    <t>《工伤保险条例》；地方标准</t>
  </si>
  <si>
    <r>
      <rPr>
        <sz val="9"/>
        <color rgb="FF333333"/>
        <rFont val="Noto Sans CJK SC"/>
        <charset val="134"/>
      </rPr>
      <t>解除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终止时支付一次性伤残就业补助金</t>
    </r>
    <r>
      <rPr>
        <sz val="9"/>
        <color rgb="FF333333"/>
        <rFont val="微软雅黑"/>
        <charset val="1"/>
      </rPr>
      <t>(</t>
    </r>
    <r>
      <rPr>
        <sz val="9"/>
        <color rgb="FF333333"/>
        <rFont val="Noto Sans CJK SC"/>
        <charset val="134"/>
      </rPr>
      <t>用人单位承担</t>
    </r>
    <r>
      <rPr>
        <sz val="9"/>
        <color rgb="FF333333"/>
        <rFont val="微软雅黑"/>
        <charset val="1"/>
      </rPr>
      <t>)</t>
    </r>
  </si>
  <si>
    <t>解除工伤职工时漏算就业补助金，被追偿</t>
  </si>
  <si>
    <t>有无工伤职工离职？补助金是否计算支付？</t>
  </si>
  <si>
    <t>工伤补偿计算表</t>
  </si>
  <si>
    <t>工伤与第三方赔偿竞合</t>
  </si>
  <si>
    <t>工伤与侵权竞合裁审口径</t>
  </si>
  <si>
    <t>第三方侵权致工伤，医疗费不双赔、其他待遇可兼得</t>
  </si>
  <si>
    <t>处理不当扩大支出或引发争议</t>
  </si>
  <si>
    <t>是否有第三方致害工伤？如何与侵权赔偿衔接？</t>
  </si>
  <si>
    <t>竞合处理指引</t>
  </si>
  <si>
    <t>安全生产主体责任</t>
  </si>
  <si>
    <t>《安全生产法》</t>
  </si>
  <si>
    <t>落实安全生产责任制、隐患排查与应急，防范事故</t>
  </si>
  <si>
    <t>安全管理缺位，事故频发、处罚与刑责</t>
  </si>
  <si>
    <t>安全生产责任如何落实？有无隐患排查？</t>
  </si>
  <si>
    <r>
      <rPr>
        <sz val="9"/>
        <color rgb="FF333333"/>
        <rFont val="Noto Sans CJK SC"/>
        <charset val="134"/>
      </rPr>
      <t xml:space="preserve">安全生产制度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责任体系</t>
    </r>
  </si>
  <si>
    <r>
      <rPr>
        <b/>
        <sz val="10"/>
        <color rgb="FF0C447C"/>
        <rFont val="Noto Sans CJK SC"/>
        <charset val="134"/>
      </rPr>
      <t>　⑧离职管控　（</t>
    </r>
    <r>
      <rPr>
        <b/>
        <sz val="10"/>
        <color rgb="FF0C447C"/>
        <rFont val="微软雅黑"/>
        <charset val="1"/>
      </rPr>
      <t xml:space="preserve">16 </t>
    </r>
    <r>
      <rPr>
        <b/>
        <sz val="10"/>
        <color rgb="FF0C447C"/>
        <rFont val="Noto Sans CJK SC"/>
        <charset val="134"/>
      </rPr>
      <t>项）</t>
    </r>
  </si>
  <si>
    <t>⑧离职管控</t>
  </si>
  <si>
    <t>解除事由合法</t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</si>
  <si>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36-41</t>
    </r>
    <r>
      <rPr>
        <sz val="9"/>
        <color rgb="FF333333"/>
        <rFont val="Noto Sans CJK SC"/>
        <charset val="134"/>
      </rPr>
      <t>条</t>
    </r>
  </si>
  <si>
    <t>解除须有法定事由并符合程序</t>
  </si>
  <si>
    <t>无合法事由解除→违法解除</t>
  </si>
  <si>
    <t>一般怎么让员工离职？</t>
  </si>
  <si>
    <r>
      <rPr>
        <sz val="9"/>
        <color rgb="FF333333"/>
        <rFont val="Noto Sans CJK SC"/>
        <charset val="134"/>
      </rPr>
      <t>合法解除路径设计</t>
    </r>
    <r>
      <rPr>
        <sz val="9"/>
        <color rgb="FF333333"/>
        <rFont val="微软雅黑"/>
        <charset val="1"/>
      </rPr>
      <t>(</t>
    </r>
    <r>
      <rPr>
        <sz val="9"/>
        <color rgb="FF333333"/>
        <rFont val="Noto Sans CJK SC"/>
        <charset val="134"/>
      </rPr>
      <t>个案</t>
    </r>
    <r>
      <rPr>
        <sz val="9"/>
        <color rgb="FF333333"/>
        <rFont val="微软雅黑"/>
        <charset val="1"/>
      </rPr>
      <t>)</t>
    </r>
  </si>
  <si>
    <r>
      <rPr>
        <sz val="9"/>
        <color rgb="FF333333"/>
        <rFont val="Noto Sans CJK SC"/>
        <charset val="134"/>
      </rPr>
      <t>制度合法是前提</t>
    </r>
    <r>
      <rPr>
        <sz val="9"/>
        <color rgb="FF333333"/>
        <rFont val="微软雅黑"/>
        <charset val="1"/>
      </rPr>
      <t>(</t>
    </r>
    <r>
      <rPr>
        <sz val="9"/>
        <color rgb="FF333333"/>
        <rFont val="Noto Sans CJK SC"/>
        <charset val="134"/>
      </rPr>
      <t>依赖④板块</t>
    </r>
    <r>
      <rPr>
        <sz val="9"/>
        <color rgb="FF333333"/>
        <rFont val="微软雅黑"/>
        <charset val="1"/>
      </rPr>
      <t>)</t>
    </r>
  </si>
  <si>
    <t>不胜任程序</t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</si>
  <si>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40</t>
    </r>
    <r>
      <rPr>
        <sz val="9"/>
        <color rgb="FF333333"/>
        <rFont val="Noto Sans CJK SC"/>
        <charset val="134"/>
      </rPr>
      <t>条</t>
    </r>
  </si>
  <si>
    <t>不胜任须经培训或调岗后仍不胜任再解除</t>
  </si>
  <si>
    <r>
      <rPr>
        <sz val="9"/>
        <color rgb="FF333333"/>
        <rFont val="Noto Sans CJK SC"/>
        <charset val="134"/>
      </rPr>
      <t>未培训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调岗直接解除→违法</t>
    </r>
  </si>
  <si>
    <t>以「不胜任」解除过吗？走了哪些程序？</t>
  </si>
  <si>
    <r>
      <rPr>
        <sz val="9"/>
        <color rgb="FF333333"/>
        <rFont val="Noto Sans CJK SC"/>
        <charset val="134"/>
      </rPr>
      <t xml:space="preserve">不胜任处理流程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个案</t>
    </r>
  </si>
  <si>
    <r>
      <rPr>
        <sz val="9"/>
        <color rgb="FF333333"/>
        <rFont val="Noto Sans CJK SC"/>
        <charset val="134"/>
      </rPr>
      <t>流程可标准化</t>
    </r>
    <r>
      <rPr>
        <sz val="9"/>
        <color rgb="FF333333"/>
        <rFont val="微软雅黑"/>
        <charset val="1"/>
      </rPr>
      <t>,</t>
    </r>
    <r>
      <rPr>
        <sz val="9"/>
        <color rgb="FF333333"/>
        <rFont val="Noto Sans CJK SC"/>
        <charset val="134"/>
      </rPr>
      <t>个案走风控线</t>
    </r>
  </si>
  <si>
    <t>严重违纪举证</t>
  </si>
  <si>
    <r>
      <rPr>
        <sz val="9"/>
        <color rgb="FF333333"/>
        <rFont val="Noto Sans CJK SC"/>
        <charset val="134"/>
      </rPr>
      <t>解除须有制度依据</t>
    </r>
    <r>
      <rPr>
        <sz val="9"/>
        <color rgb="FF333333"/>
        <rFont val="微软雅黑"/>
        <charset val="1"/>
      </rPr>
      <t>+</t>
    </r>
    <r>
      <rPr>
        <sz val="9"/>
        <color rgb="FF333333"/>
        <rFont val="Noto Sans CJK SC"/>
        <charset val="134"/>
      </rPr>
      <t>证据</t>
    </r>
    <r>
      <rPr>
        <sz val="9"/>
        <color rgb="FF333333"/>
        <rFont val="微软雅黑"/>
        <charset val="1"/>
      </rPr>
      <t>+</t>
    </r>
    <r>
      <rPr>
        <sz val="9"/>
        <color rgb="FF333333"/>
        <rFont val="Noto Sans CJK SC"/>
        <charset val="134"/>
      </rPr>
      <t>程序三者齐备</t>
    </r>
  </si>
  <si>
    <t>无证据链解除→违法</t>
  </si>
  <si>
    <t>违纪解除有证据和签字吗？</t>
  </si>
  <si>
    <r>
      <rPr>
        <sz val="9"/>
        <color rgb="FF333333"/>
        <rFont val="Noto Sans CJK SC"/>
        <charset val="134"/>
      </rPr>
      <t xml:space="preserve">违纪证据规范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调查报告</t>
    </r>
  </si>
  <si>
    <t>★★★「辞得了人」的举证基础</t>
  </si>
  <si>
    <t>特殊保护期</t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</si>
  <si>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42</t>
    </r>
    <r>
      <rPr>
        <sz val="9"/>
        <color rgb="FF333333"/>
        <rFont val="Noto Sans CJK SC"/>
        <charset val="134"/>
      </rPr>
      <t>条</t>
    </r>
  </si>
  <si>
    <r>
      <rPr>
        <sz val="9"/>
        <color rgb="FF333333"/>
        <rFont val="Noto Sans CJK SC"/>
        <charset val="134"/>
      </rPr>
      <t>三期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医疗期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工伤停工留薪期内不得无故解除</t>
    </r>
  </si>
  <si>
    <r>
      <rPr>
        <sz val="9"/>
        <color rgb="FF333333"/>
        <rFont val="Noto Sans CJK SC"/>
        <charset val="134"/>
      </rPr>
      <t>保护期内违法解除→</t>
    </r>
    <r>
      <rPr>
        <sz val="9"/>
        <color rgb="FF333333"/>
        <rFont val="微软雅黑"/>
        <charset val="1"/>
      </rPr>
      <t>2N</t>
    </r>
    <r>
      <rPr>
        <sz val="9"/>
        <color rgb="FF333333"/>
        <rFont val="Noto Sans CJK SC"/>
        <charset val="134"/>
      </rPr>
      <t>或恢复</t>
    </r>
  </si>
  <si>
    <r>
      <rPr>
        <sz val="9"/>
        <color rgb="FF333333"/>
        <rFont val="Noto Sans CJK SC"/>
        <charset val="134"/>
      </rPr>
      <t>是否涉及三期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医疗期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工伤期解除？</t>
    </r>
  </si>
  <si>
    <r>
      <rPr>
        <sz val="9"/>
        <color rgb="FF333333"/>
        <rFont val="Noto Sans CJK SC"/>
        <charset val="134"/>
      </rPr>
      <t xml:space="preserve">保护期核查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培训</t>
    </r>
  </si>
  <si>
    <t>经济性裁员</t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</si>
  <si>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41</t>
    </r>
    <r>
      <rPr>
        <sz val="9"/>
        <color rgb="FF333333"/>
        <rFont val="Noto Sans CJK SC"/>
        <charset val="134"/>
      </rPr>
      <t>条</t>
    </r>
  </si>
  <si>
    <r>
      <rPr>
        <sz val="9"/>
        <color rgb="FF333333"/>
        <rFont val="Noto Sans CJK SC"/>
        <charset val="134"/>
      </rPr>
      <t>裁员须提前</t>
    </r>
    <r>
      <rPr>
        <sz val="9"/>
        <color rgb="FF333333"/>
        <rFont val="微软雅黑"/>
        <charset val="1"/>
      </rPr>
      <t>30</t>
    </r>
    <r>
      <rPr>
        <sz val="9"/>
        <color rgb="FF333333"/>
        <rFont val="Noto Sans CJK SC"/>
        <charset val="134"/>
      </rPr>
      <t>日说明并报人社部门</t>
    </r>
  </si>
  <si>
    <t>未走程序的裁员违法</t>
  </si>
  <si>
    <t>是否有规模性裁减计划？</t>
  </si>
  <si>
    <r>
      <rPr>
        <sz val="9"/>
        <color rgb="FF333333"/>
        <rFont val="Noto Sans CJK SC"/>
        <charset val="134"/>
      </rPr>
      <t>裁员方案</t>
    </r>
    <r>
      <rPr>
        <sz val="9"/>
        <color rgb="FF333333"/>
        <rFont val="微软雅黑"/>
        <charset val="1"/>
      </rPr>
      <t>(</t>
    </r>
    <r>
      <rPr>
        <sz val="9"/>
        <color rgb="FF333333"/>
        <rFont val="Noto Sans CJK SC"/>
        <charset val="134"/>
      </rPr>
      <t>纯定制</t>
    </r>
    <r>
      <rPr>
        <sz val="9"/>
        <color rgb="FF333333"/>
        <rFont val="微软雅黑"/>
        <charset val="1"/>
      </rPr>
      <t>)</t>
    </r>
  </si>
  <si>
    <r>
      <rPr>
        <sz val="9"/>
        <color rgb="FF333333"/>
        <rFont val="Noto Sans CJK SC"/>
        <charset val="134"/>
      </rPr>
      <t>★事件驱动</t>
    </r>
    <r>
      <rPr>
        <sz val="9"/>
        <color rgb="FF333333"/>
        <rFont val="微软雅黑"/>
        <charset val="1"/>
      </rPr>
      <t>,</t>
    </r>
    <r>
      <rPr>
        <sz val="9"/>
        <color rgb="FF333333"/>
        <rFont val="Noto Sans CJK SC"/>
        <charset val="134"/>
      </rPr>
      <t>高价交付</t>
    </r>
  </si>
  <si>
    <t>协商解除文本</t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</si>
  <si>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36</t>
    </r>
    <r>
      <rPr>
        <sz val="9"/>
        <color rgb="FF333333"/>
        <rFont val="Noto Sans CJK SC"/>
        <charset val="134"/>
      </rPr>
      <t>条</t>
    </r>
  </si>
  <si>
    <t>协商解除协议表述严谨、彻底了断</t>
  </si>
  <si>
    <t>文本不严谨留二次索赔口子</t>
  </si>
  <si>
    <t>协商解除怎么签的？</t>
  </si>
  <si>
    <t>协商解除协议模板</t>
  </si>
  <si>
    <t>送达与工会通知</t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</si>
  <si>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43/50</t>
    </r>
    <r>
      <rPr>
        <sz val="9"/>
        <color rgb="FF333333"/>
        <rFont val="Noto Sans CJK SC"/>
        <charset val="134"/>
      </rPr>
      <t>条</t>
    </r>
  </si>
  <si>
    <t>解除通知有效送达，单方解除事先通知工会</t>
  </si>
  <si>
    <r>
      <rPr>
        <sz val="9"/>
        <color rgb="FF333333"/>
        <rFont val="Noto Sans CJK SC"/>
        <charset val="134"/>
      </rPr>
      <t>未送达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未通知工会程序违法</t>
    </r>
  </si>
  <si>
    <t>解除通知怎么送达？通知工会了吗？</t>
  </si>
  <si>
    <r>
      <rPr>
        <sz val="9"/>
        <color rgb="FF333333"/>
        <rFont val="Noto Sans CJK SC"/>
        <charset val="134"/>
      </rPr>
      <t xml:space="preserve">送达回执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工会程序</t>
    </r>
  </si>
  <si>
    <r>
      <rPr>
        <sz val="9"/>
        <color rgb="FF333333"/>
        <rFont val="Noto Sans CJK SC"/>
        <charset val="134"/>
      </rPr>
      <t>补偿</t>
    </r>
    <r>
      <rPr>
        <sz val="9"/>
        <color rgb="FF333333"/>
        <rFont val="微软雅黑"/>
        <charset val="1"/>
      </rPr>
      <t>2N</t>
    </r>
    <r>
      <rPr>
        <sz val="9"/>
        <color rgb="FF333333"/>
        <rFont val="Noto Sans CJK SC"/>
        <charset val="134"/>
      </rPr>
      <t>计算</t>
    </r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</si>
  <si>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47/87</t>
    </r>
    <r>
      <rPr>
        <sz val="9"/>
        <color rgb="FF333333"/>
        <rFont val="Noto Sans CJK SC"/>
        <charset val="134"/>
      </rPr>
      <t>条</t>
    </r>
  </si>
  <si>
    <r>
      <rPr>
        <sz val="9"/>
        <color rgb="FF333333"/>
        <rFont val="Noto Sans CJK SC"/>
        <charset val="134"/>
      </rPr>
      <t>经济补偿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赔偿金按法定标准与基数</t>
    </r>
  </si>
  <si>
    <t>计算错误超付或被诉</t>
  </si>
  <si>
    <t>离职补偿怎么算的？</t>
  </si>
  <si>
    <t>离职证明</t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</si>
  <si>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50</t>
    </r>
    <r>
      <rPr>
        <sz val="9"/>
        <color rgb="FF333333"/>
        <rFont val="Noto Sans CJK SC"/>
        <charset val="134"/>
      </rPr>
      <t>条</t>
    </r>
  </si>
  <si>
    <r>
      <rPr>
        <sz val="9"/>
        <color rgb="FF333333"/>
        <rFont val="Noto Sans CJK SC"/>
        <charset val="134"/>
      </rPr>
      <t>解除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终止时即出具离职证明</t>
    </r>
  </si>
  <si>
    <r>
      <rPr>
        <sz val="9"/>
        <color rgb="FF333333"/>
        <rFont val="Noto Sans CJK SC"/>
        <charset val="134"/>
      </rPr>
      <t>不出具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拖延→赔偿损失</t>
    </r>
  </si>
  <si>
    <t>离职证明及时出具吗？</t>
  </si>
  <si>
    <t>离职证明模板</t>
  </si>
  <si>
    <t>社保档案转移</t>
  </si>
  <si>
    <r>
      <rPr>
        <sz val="9"/>
        <color rgb="FF333333"/>
        <rFont val="微软雅黑"/>
        <charset val="1"/>
      </rPr>
      <t>15</t>
    </r>
    <r>
      <rPr>
        <sz val="9"/>
        <color rgb="FF333333"/>
        <rFont val="Noto Sans CJK SC"/>
        <charset val="134"/>
      </rPr>
      <t>日内办理社保、档案转移</t>
    </r>
  </si>
  <si>
    <t>未及时转移→赔偿损失</t>
  </si>
  <si>
    <t>社保、档案怎么转移？</t>
  </si>
  <si>
    <t>离职交接流程</t>
  </si>
  <si>
    <t>竞业限制</t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</si>
  <si>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23/24</t>
    </r>
    <r>
      <rPr>
        <sz val="9"/>
        <color rgb="FF333333"/>
        <rFont val="Noto Sans CJK SC"/>
        <charset val="134"/>
      </rPr>
      <t>条</t>
    </r>
  </si>
  <si>
    <r>
      <rPr>
        <sz val="9"/>
        <color rgb="FF333333"/>
        <rFont val="Noto Sans CJK SC"/>
        <charset val="134"/>
      </rPr>
      <t>竞业须约定并按月支付补偿，期限≤</t>
    </r>
    <r>
      <rPr>
        <sz val="9"/>
        <color rgb="FF333333"/>
        <rFont val="微软雅黑"/>
        <charset val="1"/>
      </rPr>
      <t>2</t>
    </r>
    <r>
      <rPr>
        <sz val="9"/>
        <color rgb="FF333333"/>
        <rFont val="Noto Sans CJK SC"/>
        <charset val="134"/>
      </rPr>
      <t>年</t>
    </r>
  </si>
  <si>
    <t>未付补偿约定无效；范围不当反索赔</t>
  </si>
  <si>
    <t>涉密岗位签竞业了吗？给补偿吗？</t>
  </si>
  <si>
    <t>竞业限制协议</t>
  </si>
  <si>
    <t>变相辞退</t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</si>
  <si>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35</t>
    </r>
    <r>
      <rPr>
        <sz val="9"/>
        <color rgb="FF333333"/>
        <rFont val="Noto Sans CJK SC"/>
        <charset val="134"/>
      </rPr>
      <t>条</t>
    </r>
  </si>
  <si>
    <t>调岗降薪须协商一致</t>
  </si>
  <si>
    <r>
      <rPr>
        <sz val="9"/>
        <color rgb="FF333333"/>
        <rFont val="Noto Sans CJK SC"/>
        <charset val="134"/>
      </rPr>
      <t>边缘化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调岗降薪逼离→变相辞退</t>
    </r>
  </si>
  <si>
    <t>有无调岗降薪逼离情况？</t>
  </si>
  <si>
    <r>
      <rPr>
        <sz val="9"/>
        <color rgb="FF333333"/>
        <rFont val="Noto Sans CJK SC"/>
        <charset val="134"/>
      </rPr>
      <t>规范培训</t>
    </r>
    <r>
      <rPr>
        <sz val="9"/>
        <color rgb="FF333333"/>
        <rFont val="微软雅黑"/>
        <charset val="1"/>
      </rPr>
      <t>(</t>
    </r>
    <r>
      <rPr>
        <sz val="9"/>
        <color rgb="FF333333"/>
        <rFont val="Noto Sans CJK SC"/>
        <charset val="134"/>
      </rPr>
      <t>杜绝变相辞退</t>
    </r>
    <r>
      <rPr>
        <sz val="9"/>
        <color rgb="FF333333"/>
        <rFont val="微软雅黑"/>
        <charset val="1"/>
      </rPr>
      <t>)</t>
    </r>
  </si>
  <si>
    <r>
      <rPr>
        <sz val="9"/>
        <color rgb="FF333333"/>
        <rFont val="Noto Sans CJK SC"/>
        <charset val="134"/>
      </rPr>
      <t>自动离职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失联处理</t>
    </r>
  </si>
  <si>
    <t>裁审口径；规章制度</t>
  </si>
  <si>
    <t>员工不辞而别须依制度催告、送达后再依旷工处理</t>
  </si>
  <si>
    <r>
      <rPr>
        <sz val="9"/>
        <color rgb="FF333333"/>
        <rFont val="Noto Sans CJK SC"/>
        <charset val="134"/>
      </rPr>
      <t>简单按</t>
    </r>
    <r>
      <rPr>
        <sz val="9"/>
        <color rgb="FF333333"/>
        <rFont val="微软雅黑"/>
        <charset val="1"/>
      </rPr>
      <t>'</t>
    </r>
    <r>
      <rPr>
        <sz val="9"/>
        <color rgb="FF333333"/>
        <rFont val="Noto Sans CJK SC"/>
        <charset val="134"/>
      </rPr>
      <t>自动离职</t>
    </r>
    <r>
      <rPr>
        <sz val="9"/>
        <color rgb="FF333333"/>
        <rFont val="微软雅黑"/>
        <charset val="1"/>
      </rPr>
      <t>'</t>
    </r>
    <r>
      <rPr>
        <sz val="9"/>
        <color rgb="FF333333"/>
        <rFont val="Noto Sans CJK SC"/>
        <charset val="134"/>
      </rPr>
      <t>处理被认定违法解除</t>
    </r>
  </si>
  <si>
    <t>遇到员工失联怎么处理？有无催告送达？</t>
  </si>
  <si>
    <t>催告与解除模板</t>
  </si>
  <si>
    <t>工作交接与离职手续</t>
  </si>
  <si>
    <t>规章制度</t>
  </si>
  <si>
    <r>
      <rPr>
        <sz val="9"/>
        <color rgb="FF333333"/>
        <rFont val="Noto Sans CJK SC"/>
        <charset val="134"/>
      </rPr>
      <t>离职须办理工作交接、物品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数据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权限回收并留痕</t>
    </r>
  </si>
  <si>
    <t>交接不清、数据带走，损失与泄密</t>
  </si>
  <si>
    <t>离职交接清单是否完整？设备数据如何回收？</t>
  </si>
  <si>
    <r>
      <rPr>
        <sz val="9"/>
        <color rgb="FF333333"/>
        <rFont val="Noto Sans CJK SC"/>
        <charset val="134"/>
      </rPr>
      <t xml:space="preserve">离职交接清单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流程</t>
    </r>
  </si>
  <si>
    <t>经济补偿封顶规则</t>
  </si>
  <si>
    <r>
      <rPr>
        <sz val="9"/>
        <color rgb="FF333333"/>
        <rFont val="Noto Sans CJK SC"/>
        <charset val="134"/>
      </rPr>
      <t>高收入者补偿基数封顶</t>
    </r>
    <r>
      <rPr>
        <sz val="9"/>
        <color rgb="FF333333"/>
        <rFont val="微软雅黑"/>
        <charset val="1"/>
      </rPr>
      <t>3</t>
    </r>
    <r>
      <rPr>
        <sz val="9"/>
        <color rgb="FF333333"/>
        <rFont val="Noto Sans CJK SC"/>
        <charset val="134"/>
      </rPr>
      <t>倍社平、年限封顶</t>
    </r>
    <r>
      <rPr>
        <sz val="9"/>
        <color rgb="FF333333"/>
        <rFont val="微软雅黑"/>
        <charset val="1"/>
      </rPr>
      <t>12</t>
    </r>
    <r>
      <rPr>
        <sz val="9"/>
        <color rgb="FF333333"/>
        <rFont val="Noto Sans CJK SC"/>
        <charset val="134"/>
      </rPr>
      <t>年</t>
    </r>
  </si>
  <si>
    <t>封顶规则用错，超付或少付引发争议</t>
  </si>
  <si>
    <t>是否有高收入离职？补偿封顶是否适用正确？</t>
  </si>
  <si>
    <t>补偿计算器</t>
  </si>
  <si>
    <t>离职竞业启动与通知</t>
  </si>
  <si>
    <t>离职时明确是否启动竞业，按月支付补偿或书面解除</t>
  </si>
  <si>
    <r>
      <rPr>
        <sz val="9"/>
        <color rgb="FF333333"/>
        <rFont val="Noto Sans CJK SC"/>
        <charset val="134"/>
      </rPr>
      <t>离职未明确启动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解除，补偿与违约纠纷</t>
    </r>
  </si>
  <si>
    <t>涉密人员离职如何处理竞业？是否书面通知？</t>
  </si>
  <si>
    <t>竞业启动通知书</t>
  </si>
  <si>
    <r>
      <rPr>
        <b/>
        <sz val="10"/>
        <color rgb="FF0C447C"/>
        <rFont val="Noto Sans CJK SC"/>
        <charset val="134"/>
      </rPr>
      <t>　⑨员工关系管控　（</t>
    </r>
    <r>
      <rPr>
        <b/>
        <sz val="10"/>
        <color rgb="FF0C447C"/>
        <rFont val="微软雅黑"/>
        <charset val="1"/>
      </rPr>
      <t xml:space="preserve">10 </t>
    </r>
    <r>
      <rPr>
        <b/>
        <sz val="10"/>
        <color rgb="FF0C447C"/>
        <rFont val="Noto Sans CJK SC"/>
        <charset val="134"/>
      </rPr>
      <t>项）</t>
    </r>
  </si>
  <si>
    <t>⑨员工关系管控</t>
  </si>
  <si>
    <t>民主管理与职代会</t>
  </si>
  <si>
    <r>
      <rPr>
        <sz val="9"/>
        <color rgb="FF333333"/>
        <rFont val="Noto Sans CJK SC"/>
        <charset val="134"/>
      </rPr>
      <t>《劳动合同法》第</t>
    </r>
    <r>
      <rPr>
        <sz val="9"/>
        <color rgb="FF333333"/>
        <rFont val="微软雅黑"/>
        <charset val="1"/>
      </rPr>
      <t>4</t>
    </r>
    <r>
      <rPr>
        <sz val="9"/>
        <color rgb="FF333333"/>
        <rFont val="Noto Sans CJK SC"/>
        <charset val="134"/>
      </rPr>
      <t>条；《企业民主管理规定》</t>
    </r>
  </si>
  <si>
    <t>重大制度、事项经职代会或全体职工讨论，履行民主程序</t>
  </si>
  <si>
    <t>民主程序缺失，制度无效、决策被推翻</t>
  </si>
  <si>
    <t>是否建立职代会？重大事项如何履行民主程序？</t>
  </si>
  <si>
    <r>
      <rPr>
        <sz val="9"/>
        <color rgb="FF333333"/>
        <rFont val="Noto Sans CJK SC"/>
        <charset val="134"/>
      </rPr>
      <t xml:space="preserve">民主程序文书包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现场执行</t>
    </r>
  </si>
  <si>
    <r>
      <rPr>
        <sz val="9"/>
        <color rgb="FF333333"/>
        <rFont val="Noto Sans CJK SC"/>
        <charset val="134"/>
      </rPr>
      <t>★★是第</t>
    </r>
    <r>
      <rPr>
        <sz val="9"/>
        <color rgb="FF333333"/>
        <rFont val="微软雅黑"/>
        <charset val="1"/>
      </rPr>
      <t>58</t>
    </r>
    <r>
      <rPr>
        <sz val="9"/>
        <color rgb="FF333333"/>
        <rFont val="Noto Sans CJK SC"/>
        <charset val="134"/>
      </rPr>
      <t>项民主程序的载体</t>
    </r>
  </si>
  <si>
    <t>工会建设与运行</t>
  </si>
  <si>
    <t>《工会法》</t>
  </si>
  <si>
    <r>
      <rPr>
        <sz val="9"/>
        <color rgb="FF333333"/>
        <rFont val="Noto Sans CJK SC"/>
        <charset val="134"/>
      </rPr>
      <t>依法支持设立工会、按</t>
    </r>
    <r>
      <rPr>
        <sz val="9"/>
        <color rgb="FF333333"/>
        <rFont val="微软雅黑"/>
        <charset val="1"/>
      </rPr>
      <t>2%</t>
    </r>
    <r>
      <rPr>
        <sz val="9"/>
        <color rgb="FF333333"/>
        <rFont val="Noto Sans CJK SC"/>
        <charset val="134"/>
      </rPr>
      <t>拨缴经费、保障工会履职</t>
    </r>
  </si>
  <si>
    <r>
      <rPr>
        <sz val="9"/>
        <color rgb="FF333333"/>
        <rFont val="Noto Sans CJK SC"/>
        <charset val="134"/>
      </rPr>
      <t>未建工会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经费不缴，影响民主程序与合规形象</t>
    </r>
  </si>
  <si>
    <r>
      <rPr>
        <sz val="9"/>
        <color rgb="FF333333"/>
        <rFont val="Noto Sans CJK SC"/>
        <charset val="134"/>
      </rPr>
      <t>是否设立工会？经费是否按</t>
    </r>
    <r>
      <rPr>
        <sz val="9"/>
        <color rgb="FF333333"/>
        <rFont val="微软雅黑"/>
        <charset val="1"/>
      </rPr>
      <t>2%</t>
    </r>
    <r>
      <rPr>
        <sz val="9"/>
        <color rgb="FF333333"/>
        <rFont val="Noto Sans CJK SC"/>
        <charset val="134"/>
      </rPr>
      <t>拨缴？</t>
    </r>
  </si>
  <si>
    <t>工会建设方案</t>
  </si>
  <si>
    <t>员工沟通与申诉机制</t>
  </si>
  <si>
    <t>建立畅通的沟通、申诉、反馈渠道，矛盾早发现早化解</t>
  </si>
  <si>
    <t>诉求无处表达，积累后集中爆发</t>
  </si>
  <si>
    <t>员工有哪些沟通申诉渠道？响应如何？</t>
  </si>
  <si>
    <t>申诉处理流程</t>
  </si>
  <si>
    <t>群体性风险预警</t>
  </si>
  <si>
    <t>识别欠薪、裁员、改制等群体性风险并建立预案</t>
  </si>
  <si>
    <t>群体事件突发，停工讨薪、舆情失控</t>
  </si>
  <si>
    <t>哪些事项可能引发群体性风险？有无预案？</t>
  </si>
  <si>
    <t>群体事件预警与处置预案</t>
  </si>
  <si>
    <r>
      <rPr>
        <sz val="9"/>
        <color rgb="FF333333"/>
        <rFont val="Noto Sans CJK SC"/>
        <charset val="134"/>
      </rPr>
      <t>★高危</t>
    </r>
    <r>
      <rPr>
        <sz val="9"/>
        <color rgb="FF333333"/>
        <rFont val="微软雅黑"/>
        <charset val="1"/>
      </rPr>
      <t>,</t>
    </r>
    <r>
      <rPr>
        <sz val="9"/>
        <color rgb="FF333333"/>
        <rFont val="Noto Sans CJK SC"/>
        <charset val="134"/>
      </rPr>
      <t>有苗头即转急症</t>
    </r>
  </si>
  <si>
    <t>满意度与稳定性监测</t>
  </si>
  <si>
    <t>监测离职率、满意度，识别核心人才流失风险</t>
  </si>
  <si>
    <t>核心流失、士气低落，影响经营与风控落地</t>
  </si>
  <si>
    <t>离职率多少？核心岗位稳定吗？有无满意度调查？</t>
  </si>
  <si>
    <t>离职分析表</t>
  </si>
  <si>
    <t>企业文化与价值观</t>
  </si>
  <si>
    <t>以文化与价值观引导，降低对立、促进和谐劳动关系</t>
  </si>
  <si>
    <t>文化缺失，劳资对立、管理靠强压</t>
  </si>
  <si>
    <t>企业文化是什么？劳资关系是和谐还是对立？</t>
  </si>
  <si>
    <t>文化建设建议</t>
  </si>
  <si>
    <t>员工个人信息保护</t>
  </si>
  <si>
    <t>员工个人信息收集、使用、存储合规，防止泄露滥用</t>
  </si>
  <si>
    <t>违规处理员工信息，被投诉、监管处罚</t>
  </si>
  <si>
    <t>员工信息如何收集存储？是否过度？有无泄露？</t>
  </si>
  <si>
    <t>信息保护制度</t>
  </si>
  <si>
    <t>奖惩激励平衡</t>
  </si>
  <si>
    <t>正向激励与负向管理并重，惩处合法、激励有效</t>
  </si>
  <si>
    <t>只罚不奖、惩处违法，激化矛盾</t>
  </si>
  <si>
    <t>奖惩制度如何设计？惩处是否合法？</t>
  </si>
  <si>
    <t>奖惩制度</t>
  </si>
  <si>
    <t>内部举报与反舞弊</t>
  </si>
  <si>
    <t>建立举报渠道与反舞弊机制，保护举报人</t>
  </si>
  <si>
    <t>舞弊滋生、无人举报，内部损失</t>
  </si>
  <si>
    <t>是否有举报渠道与反舞弊机制？</t>
  </si>
  <si>
    <t>举报管理办法</t>
  </si>
  <si>
    <t>和谐劳动关系建设</t>
  </si>
  <si>
    <t>构建和谐劳动关系相关政策</t>
  </si>
  <si>
    <t>主动构建和谐劳动关系，争创和谐企业</t>
  </si>
  <si>
    <t>劳资长期紧张，风控方案难落地</t>
  </si>
  <si>
    <t>当前劳资关系状态？是否愿意改善？</t>
  </si>
  <si>
    <t>关系建设方案</t>
  </si>
  <si>
    <r>
      <rPr>
        <b/>
        <sz val="10"/>
        <color rgb="FF0C447C"/>
        <rFont val="Noto Sans CJK SC"/>
        <charset val="134"/>
      </rPr>
      <t>　⑩劳动争议管控　（</t>
    </r>
    <r>
      <rPr>
        <b/>
        <sz val="10"/>
        <color rgb="FF0C447C"/>
        <rFont val="微软雅黑"/>
        <charset val="1"/>
      </rPr>
      <t xml:space="preserve">13 </t>
    </r>
    <r>
      <rPr>
        <b/>
        <sz val="10"/>
        <color rgb="FF0C447C"/>
        <rFont val="Noto Sans CJK SC"/>
        <charset val="134"/>
      </rPr>
      <t>项）</t>
    </r>
  </si>
  <si>
    <t>⑩劳动争议管控</t>
  </si>
  <si>
    <t>高发风险识别</t>
  </si>
  <si>
    <t>定期排查易引发争议的管理环节</t>
  </si>
  <si>
    <t>风险点长期潜伏、集中爆发</t>
  </si>
  <si>
    <t>以往争议集中在哪些方面？</t>
  </si>
  <si>
    <r>
      <rPr>
        <sz val="9"/>
        <color rgb="FF333333"/>
        <rFont val="Noto Sans CJK SC"/>
        <charset val="134"/>
      </rPr>
      <t xml:space="preserve">风险台账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定期排查</t>
    </r>
  </si>
  <si>
    <t>证据体系</t>
  </si>
  <si>
    <r>
      <rPr>
        <sz val="9"/>
        <color rgb="FF333333"/>
        <rFont val="Noto Sans CJK SC"/>
        <charset val="134"/>
      </rPr>
      <t>合同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考勤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工资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制度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送达全程留痕</t>
    </r>
  </si>
  <si>
    <t>关键证据缺失，举证不能而败诉</t>
  </si>
  <si>
    <t>关键证据是否完整、可随时调取？</t>
  </si>
  <si>
    <r>
      <rPr>
        <sz val="9"/>
        <color rgb="FF333333"/>
        <rFont val="Noto Sans CJK SC"/>
        <charset val="134"/>
      </rPr>
      <t xml:space="preserve">用工证据体系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证据清单</t>
    </r>
  </si>
  <si>
    <t>★★★证据能力总纲</t>
  </si>
  <si>
    <t>送达回执</t>
  </si>
  <si>
    <t>《民事诉讼法》送达规则</t>
  </si>
  <si>
    <t>通知、处分、解除均留存送达回执</t>
  </si>
  <si>
    <t>无送达证据，程序合法无法证明</t>
  </si>
  <si>
    <t>通知怎么送达？有回执吗？</t>
  </si>
  <si>
    <t>送达回执模板</t>
  </si>
  <si>
    <t>时效管理</t>
  </si>
  <si>
    <r>
      <rPr>
        <sz val="9"/>
        <color rgb="FF333333"/>
        <rFont val="Noto Sans CJK SC"/>
        <charset val="134"/>
      </rPr>
      <t>《劳动争议调解仲裁法》第</t>
    </r>
    <r>
      <rPr>
        <sz val="9"/>
        <color rgb="FF333333"/>
        <rFont val="微软雅黑"/>
        <charset val="1"/>
      </rPr>
      <t>27</t>
    </r>
    <r>
      <rPr>
        <sz val="9"/>
        <color rgb="FF333333"/>
        <rFont val="Noto Sans CJK SC"/>
        <charset val="134"/>
      </rPr>
      <t>条</t>
    </r>
  </si>
  <si>
    <r>
      <rPr>
        <sz val="9"/>
        <color rgb="FF333333"/>
        <rFont val="Noto Sans CJK SC"/>
        <charset val="134"/>
      </rPr>
      <t>把握仲裁时效；劳动报酬在职期间不受</t>
    </r>
    <r>
      <rPr>
        <sz val="9"/>
        <color rgb="FF333333"/>
        <rFont val="微软雅黑"/>
        <charset val="1"/>
      </rPr>
      <t>1</t>
    </r>
    <r>
      <rPr>
        <sz val="9"/>
        <color rgb="FF333333"/>
        <rFont val="Noto Sans CJK SC"/>
        <charset val="134"/>
      </rPr>
      <t>年限制</t>
    </r>
  </si>
  <si>
    <t>时效误判，主张丧失或被长期追溯</t>
  </si>
  <si>
    <t>是否了解仲裁时效规则？</t>
  </si>
  <si>
    <r>
      <rPr>
        <sz val="9"/>
        <color rgb="FF333333"/>
        <rFont val="Noto Sans CJK SC"/>
        <charset val="134"/>
      </rPr>
      <t xml:space="preserve">时效台账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意识培训</t>
    </r>
  </si>
  <si>
    <t>电子证据</t>
  </si>
  <si>
    <t>电子数据证据规则</t>
  </si>
  <si>
    <t>规范工作群、聊天、录音的使用与留存</t>
  </si>
  <si>
    <r>
      <rPr>
        <sz val="9"/>
        <color rgb="FF333333"/>
        <rFont val="Noto Sans CJK SC"/>
        <charset val="134"/>
      </rPr>
      <t>录音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聊天记录成为对方有力证据</t>
    </r>
  </si>
  <si>
    <t>工作沟通主要用什么？是否规范？</t>
  </si>
  <si>
    <t>线上沟通留痕规范</t>
  </si>
  <si>
    <t>内部投诉调解</t>
  </si>
  <si>
    <t>建立内部投诉、沟通、调解机制</t>
  </si>
  <si>
    <r>
      <rPr>
        <sz val="9"/>
        <color rgb="FF333333"/>
        <rFont val="Noto Sans CJK SC"/>
        <charset val="134"/>
      </rPr>
      <t>矛盾外溢直达仲裁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监察</t>
    </r>
  </si>
  <si>
    <r>
      <rPr>
        <sz val="9"/>
        <color rgb="FF333333"/>
        <rFont val="Noto Sans CJK SC"/>
        <charset val="134"/>
      </rPr>
      <t>有内部投诉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沟通渠道吗？</t>
    </r>
  </si>
  <si>
    <t>内部调解机制</t>
  </si>
  <si>
    <r>
      <rPr>
        <sz val="9"/>
        <color rgb="FF333333"/>
        <rFont val="Noto Sans CJK SC"/>
        <charset val="134"/>
      </rPr>
      <t>调解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和解协议</t>
    </r>
  </si>
  <si>
    <t>《劳动争议调解仲裁法》</t>
  </si>
  <si>
    <r>
      <rPr>
        <sz val="9"/>
        <color rgb="FF333333"/>
        <rFont val="Noto Sans CJK SC"/>
        <charset val="134"/>
      </rPr>
      <t>调解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和解协议条款严谨、可执行</t>
    </r>
  </si>
  <si>
    <t>协议不严谨，反被主张未履行</t>
  </si>
  <si>
    <t>和解协议怎么签的？</t>
  </si>
  <si>
    <t>和解协议文本</t>
  </si>
  <si>
    <t>集体争议应对</t>
  </si>
  <si>
    <t>制定群体性事件应对预案</t>
  </si>
  <si>
    <t>群体事件处理不当引发舆情</t>
  </si>
  <si>
    <t>是否有群体事件应对预案？</t>
  </si>
  <si>
    <t>群体争议预案</t>
  </si>
  <si>
    <t>应诉规范</t>
  </si>
  <si>
    <t>答辩、举证在法定期限内规范应对</t>
  </si>
  <si>
    <r>
      <rPr>
        <sz val="9"/>
        <color rgb="FF333333"/>
        <rFont val="Noto Sans CJK SC"/>
        <charset val="134"/>
      </rPr>
      <t>答辩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举证逾期丧失抗辩机会</t>
    </r>
  </si>
  <si>
    <t>应诉谁负责？是否专业？</t>
  </si>
  <si>
    <r>
      <rPr>
        <sz val="9"/>
        <color rgb="FF333333"/>
        <rFont val="Noto Sans CJK SC"/>
        <charset val="134"/>
      </rPr>
      <t>仲裁应诉方案</t>
    </r>
    <r>
      <rPr>
        <sz val="9"/>
        <color rgb="FF333333"/>
        <rFont val="微软雅黑"/>
        <charset val="1"/>
      </rPr>
      <t>(</t>
    </r>
    <r>
      <rPr>
        <sz val="9"/>
        <color rgb="FF333333"/>
        <rFont val="Noto Sans CJK SC"/>
        <charset val="134"/>
      </rPr>
      <t>个案</t>
    </r>
    <r>
      <rPr>
        <sz val="9"/>
        <color rgb="FF333333"/>
        <rFont val="微软雅黑"/>
        <charset val="1"/>
      </rPr>
      <t>)</t>
    </r>
  </si>
  <si>
    <t>★风控线核心高价交付</t>
  </si>
  <si>
    <t>历史争议复盘</t>
  </si>
  <si>
    <t>对历史争议复盘并转化为整改</t>
  </si>
  <si>
    <t>同类问题重复发生</t>
  </si>
  <si>
    <t>以往争议有复盘整改吗？</t>
  </si>
  <si>
    <t>复盘转整改清单</t>
  </si>
  <si>
    <t>复盘是最好的诊断入口</t>
  </si>
  <si>
    <t>仲裁时效管理</t>
  </si>
  <si>
    <r>
      <rPr>
        <sz val="9"/>
        <color rgb="FF333333"/>
        <rFont val="Noto Sans CJK SC"/>
        <charset val="134"/>
      </rPr>
      <t>仲裁时效</t>
    </r>
    <r>
      <rPr>
        <sz val="9"/>
        <color rgb="FF333333"/>
        <rFont val="微软雅黑"/>
        <charset val="1"/>
      </rPr>
      <t>1</t>
    </r>
    <r>
      <rPr>
        <sz val="9"/>
        <color rgb="FF333333"/>
        <rFont val="Noto Sans CJK SC"/>
        <charset val="134"/>
      </rPr>
      <t>年，劳动报酬在职期间不受限，注意起算与中断</t>
    </r>
  </si>
  <si>
    <r>
      <rPr>
        <sz val="9"/>
        <color rgb="FF333333"/>
        <rFont val="Noto Sans CJK SC"/>
        <charset val="134"/>
      </rPr>
      <t>各类请求时效如何把握？有无超期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连续侵权？</t>
    </r>
  </si>
  <si>
    <t>时效管理表</t>
  </si>
  <si>
    <t>内部调解机制建设</t>
  </si>
  <si>
    <t>企业劳动争议协商调解规定</t>
  </si>
  <si>
    <t>建立企业内部协商调解机制，矛盾内部化解</t>
  </si>
  <si>
    <t>无内部调解，矛盾直达仲裁监察、放大</t>
  </si>
  <si>
    <t>是否有内部投诉调解渠道？化解率如何？</t>
  </si>
  <si>
    <t>内部调解办法</t>
  </si>
  <si>
    <t>败诉成本与和解决策</t>
  </si>
  <si>
    <t>对争议测算败诉成本与时间成本，合理决策和解或应诉</t>
  </si>
  <si>
    <t>盲目应诉扩大损失或不当和解留隐患</t>
  </si>
  <si>
    <r>
      <rPr>
        <sz val="9"/>
        <color rgb="FF333333"/>
        <rFont val="Noto Sans CJK SC"/>
        <charset val="134"/>
      </rPr>
      <t>争议是否做成本测算？和解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应诉如何决策？</t>
    </r>
  </si>
  <si>
    <t>争议成本测算与决策机制</t>
  </si>
  <si>
    <r>
      <rPr>
        <b/>
        <sz val="14"/>
        <color rgb="FF0C447C"/>
        <rFont val="Noto Sans CJK SC"/>
        <charset val="134"/>
      </rPr>
      <t xml:space="preserve">税务维度专项诊断  </t>
    </r>
    <r>
      <rPr>
        <b/>
        <sz val="14"/>
        <color rgb="FF0C447C"/>
        <rFont val="微软雅黑"/>
        <charset val="1"/>
      </rPr>
      <t xml:space="preserve">V2 —— </t>
    </r>
    <r>
      <rPr>
        <b/>
        <sz val="14"/>
        <color rgb="FF0C447C"/>
        <rFont val="Noto Sans CJK SC"/>
        <charset val="134"/>
      </rPr>
      <t xml:space="preserve">金税四期 </t>
    </r>
    <r>
      <rPr>
        <b/>
        <sz val="14"/>
        <color rgb="FF0C447C"/>
        <rFont val="微软雅黑"/>
        <charset val="1"/>
      </rPr>
      <t xml:space="preserve">· </t>
    </r>
    <r>
      <rPr>
        <b/>
        <sz val="14"/>
        <color rgb="FF0C447C"/>
        <rFont val="Noto Sans CJK SC"/>
        <charset val="134"/>
      </rPr>
      <t xml:space="preserve">社保入税 </t>
    </r>
    <r>
      <rPr>
        <b/>
        <sz val="14"/>
        <color rgb="FF0C447C"/>
        <rFont val="微软雅黑"/>
        <charset val="1"/>
      </rPr>
      <t xml:space="preserve">· </t>
    </r>
    <r>
      <rPr>
        <b/>
        <sz val="14"/>
        <color rgb="FF0C447C"/>
        <rFont val="Noto Sans CJK SC"/>
        <charset val="134"/>
      </rPr>
      <t>三表一致</t>
    </r>
  </si>
  <si>
    <r>
      <rPr>
        <b/>
        <sz val="9"/>
        <color rgb="FF378ADD"/>
        <rFont val="微软雅黑"/>
        <charset val="1"/>
      </rPr>
      <t xml:space="preserve">12 </t>
    </r>
    <r>
      <rPr>
        <b/>
        <sz val="9"/>
        <color rgb="FF378ADD"/>
        <rFont val="Noto Sans CJK SC"/>
        <charset val="134"/>
      </rPr>
      <t>项。同样带分流四列。★ 与主表部分项目同源</t>
    </r>
    <r>
      <rPr>
        <b/>
        <sz val="9"/>
        <color rgb="FF378ADD"/>
        <rFont val="微软雅黑"/>
        <charset val="1"/>
      </rPr>
      <t>(#77/#87/#88/#35),</t>
    </r>
    <r>
      <rPr>
        <b/>
        <sz val="9"/>
        <color rgb="FF378ADD"/>
        <rFont val="Noto Sans CJK SC"/>
        <charset val="134"/>
      </rPr>
      <t>在备注中已标明 —— 生成交付清单时须去重。</t>
    </r>
  </si>
  <si>
    <t>诊断项</t>
  </si>
  <si>
    <r>
      <rPr>
        <b/>
        <sz val="10"/>
        <color rgb="FFFFFFFF"/>
        <rFont val="Noto Sans CJK SC"/>
        <charset val="134"/>
      </rPr>
      <t>法规</t>
    </r>
    <r>
      <rPr>
        <b/>
        <sz val="10"/>
        <color rgb="FFFFFFFF"/>
        <rFont val="微软雅黑"/>
        <charset val="1"/>
      </rPr>
      <t>/</t>
    </r>
    <r>
      <rPr>
        <b/>
        <sz val="10"/>
        <color rgb="FFFFFFFF"/>
        <rFont val="Noto Sans CJK SC"/>
        <charset val="134"/>
      </rPr>
      <t>政策依据</t>
    </r>
  </si>
  <si>
    <r>
      <rPr>
        <b/>
        <sz val="10"/>
        <color rgb="FFFFFFFF"/>
        <rFont val="Noto Sans CJK SC"/>
        <charset val="134"/>
      </rPr>
      <t>合规要求</t>
    </r>
    <r>
      <rPr>
        <b/>
        <sz val="10"/>
        <color rgb="FFFFFFFF"/>
        <rFont val="微软雅黑"/>
        <charset val="1"/>
      </rPr>
      <t>(</t>
    </r>
    <r>
      <rPr>
        <b/>
        <sz val="10"/>
        <color rgb="FFFFFFFF"/>
        <rFont val="Noto Sans CJK SC"/>
        <charset val="134"/>
      </rPr>
      <t>应然</t>
    </r>
    <r>
      <rPr>
        <b/>
        <sz val="10"/>
        <color rgb="FFFFFFFF"/>
        <rFont val="微软雅黑"/>
        <charset val="1"/>
      </rPr>
      <t>)</t>
    </r>
  </si>
  <si>
    <t>常见风险</t>
  </si>
  <si>
    <t>核查要点</t>
  </si>
  <si>
    <t>风险判定</t>
  </si>
  <si>
    <t>金税四期；《个人所得税法》；《社会保险法》</t>
  </si>
  <si>
    <t>工资表、个税申报、社保缴费基数三处口径一致</t>
  </si>
  <si>
    <t>三表不符触发预警，全员历史数据被追溯</t>
  </si>
  <si>
    <t>调取工资表、个税申报表、社保缴费明细比对</t>
  </si>
  <si>
    <r>
      <rPr>
        <sz val="9"/>
        <color rgb="FF333333"/>
        <rFont val="Noto Sans CJK SC"/>
        <charset val="134"/>
      </rPr>
      <t xml:space="preserve">与主表 </t>
    </r>
    <r>
      <rPr>
        <sz val="9"/>
        <color rgb="FF333333"/>
        <rFont val="微软雅黑"/>
        <charset val="1"/>
      </rPr>
      <t xml:space="preserve">#88 </t>
    </r>
    <r>
      <rPr>
        <sz val="9"/>
        <color rgb="FF333333"/>
        <rFont val="Noto Sans CJK SC"/>
        <charset val="134"/>
      </rPr>
      <t>同源</t>
    </r>
  </si>
  <si>
    <t>社保基数据实</t>
  </si>
  <si>
    <t>按上年度月平均工资足额核定社保基数</t>
  </si>
  <si>
    <r>
      <rPr>
        <sz val="9"/>
        <color rgb="FF333333"/>
        <rFont val="Noto Sans CJK SC"/>
        <charset val="134"/>
      </rPr>
      <t>按最低基数缴纳→补差额</t>
    </r>
    <r>
      <rPr>
        <sz val="9"/>
        <color rgb="FF333333"/>
        <rFont val="微软雅黑"/>
        <charset val="1"/>
      </rPr>
      <t>+</t>
    </r>
    <r>
      <rPr>
        <sz val="9"/>
        <color rgb="FF333333"/>
        <rFont val="Noto Sans CJK SC"/>
        <charset val="134"/>
      </rPr>
      <t>滞纳金</t>
    </r>
  </si>
  <si>
    <t>抽查基数与实发工资是否匹配</t>
  </si>
  <si>
    <r>
      <rPr>
        <sz val="9"/>
        <color rgb="FF333333"/>
        <rFont val="Noto Sans CJK SC"/>
        <charset val="134"/>
      </rPr>
      <t xml:space="preserve">与主表 </t>
    </r>
    <r>
      <rPr>
        <sz val="9"/>
        <color rgb="FF333333"/>
        <rFont val="微软雅黑"/>
        <charset val="1"/>
      </rPr>
      <t xml:space="preserve">#87 </t>
    </r>
    <r>
      <rPr>
        <sz val="9"/>
        <color rgb="FF333333"/>
        <rFont val="Noto Sans CJK SC"/>
        <charset val="134"/>
      </rPr>
      <t>同源</t>
    </r>
  </si>
  <si>
    <t>对公代发工资</t>
  </si>
  <si>
    <t>工资通过对公账户代发并据实申报个税</t>
  </si>
  <si>
    <r>
      <rPr>
        <sz val="9"/>
        <color rgb="FF333333"/>
        <rFont val="Noto Sans CJK SC"/>
        <charset val="134"/>
      </rPr>
      <t>现金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私人卡发薪逃避个税，留痕暴露</t>
    </r>
  </si>
  <si>
    <t>核查发薪渠道与银行流水</t>
  </si>
  <si>
    <r>
      <rPr>
        <sz val="9"/>
        <color rgb="FF333333"/>
        <rFont val="Noto Sans CJK SC"/>
        <charset val="134"/>
      </rPr>
      <t xml:space="preserve">与主表 </t>
    </r>
    <r>
      <rPr>
        <sz val="9"/>
        <color rgb="FF333333"/>
        <rFont val="微软雅黑"/>
        <charset val="1"/>
      </rPr>
      <t xml:space="preserve">#77 </t>
    </r>
    <r>
      <rPr>
        <sz val="9"/>
        <color rgb="FF333333"/>
        <rFont val="Noto Sans CJK SC"/>
        <charset val="134"/>
      </rPr>
      <t>同源</t>
    </r>
  </si>
  <si>
    <r>
      <rPr>
        <sz val="9"/>
        <color rgb="FF333333"/>
        <rFont val="Noto Sans CJK SC"/>
        <charset val="134"/>
      </rPr>
      <t>阴阳工资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两套账</t>
    </r>
  </si>
  <si>
    <t>《个人所得税法》；《税收征收管理法》</t>
  </si>
  <si>
    <t>工资据实申报，禁止阴阳工资与两套账</t>
  </si>
  <si>
    <r>
      <rPr>
        <sz val="9"/>
        <color rgb="FF333333"/>
        <rFont val="Noto Sans CJK SC"/>
        <charset val="134"/>
      </rPr>
      <t>少报工资逃税→补税</t>
    </r>
    <r>
      <rPr>
        <sz val="9"/>
        <color rgb="FF333333"/>
        <rFont val="微软雅黑"/>
        <charset val="1"/>
      </rPr>
      <t>+</t>
    </r>
    <r>
      <rPr>
        <sz val="9"/>
        <color rgb="FF333333"/>
        <rFont val="Noto Sans CJK SC"/>
        <charset val="134"/>
      </rPr>
      <t>罚款</t>
    </r>
    <r>
      <rPr>
        <sz val="9"/>
        <color rgb="FF333333"/>
        <rFont val="微软雅黑"/>
        <charset val="1"/>
      </rPr>
      <t>+</t>
    </r>
    <r>
      <rPr>
        <sz val="9"/>
        <color rgb="FF333333"/>
        <rFont val="Noto Sans CJK SC"/>
        <charset val="134"/>
      </rPr>
      <t>滞纳金</t>
    </r>
  </si>
  <si>
    <t>比对申报工资与实发工资</t>
  </si>
  <si>
    <r>
      <rPr>
        <sz val="9"/>
        <color rgb="FF333333"/>
        <rFont val="Noto Sans CJK SC"/>
        <charset val="134"/>
      </rPr>
      <t xml:space="preserve">两套账清理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据实申报方案</t>
    </r>
  </si>
  <si>
    <t>★税务负债每月在长</t>
  </si>
  <si>
    <t>劳务报酬代扣代缴</t>
  </si>
  <si>
    <r>
      <rPr>
        <sz val="9"/>
        <color rgb="FF333333"/>
        <rFont val="Noto Sans CJK SC"/>
        <charset val="134"/>
      </rPr>
      <t>《个人所得税法》第</t>
    </r>
    <r>
      <rPr>
        <sz val="9"/>
        <color rgb="FF333333"/>
        <rFont val="微软雅黑"/>
        <charset val="1"/>
      </rPr>
      <t>8/9</t>
    </r>
    <r>
      <rPr>
        <sz val="9"/>
        <color rgb="FF333333"/>
        <rFont val="Noto Sans CJK SC"/>
        <charset val="134"/>
      </rPr>
      <t>条</t>
    </r>
  </si>
  <si>
    <t>对兼职、外部人员劳务报酬依法代扣代缴个税</t>
  </si>
  <si>
    <t>未代扣代缴，企业被追责并加收滞纳金</t>
  </si>
  <si>
    <t>核查劳务人员报酬的个税处理</t>
  </si>
  <si>
    <r>
      <rPr>
        <sz val="9"/>
        <color rgb="FF333333"/>
        <rFont val="Noto Sans CJK SC"/>
        <charset val="134"/>
      </rPr>
      <t xml:space="preserve">劳务报酬代扣机制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台账</t>
    </r>
  </si>
  <si>
    <r>
      <rPr>
        <sz val="9"/>
        <color rgb="FF333333"/>
        <rFont val="Noto Sans CJK SC"/>
        <charset val="134"/>
      </rPr>
      <t>未代扣代缴</t>
    </r>
    <r>
      <rPr>
        <sz val="9"/>
        <color rgb="FF333333"/>
        <rFont val="微软雅黑"/>
        <charset val="1"/>
      </rPr>
      <t>,</t>
    </r>
    <r>
      <rPr>
        <sz val="9"/>
        <color rgb="FF333333"/>
        <rFont val="Noto Sans CJK SC"/>
        <charset val="134"/>
      </rPr>
      <t>企业被追责并加滞纳金</t>
    </r>
  </si>
  <si>
    <r>
      <rPr>
        <sz val="9"/>
        <color rgb="FF333333"/>
        <rFont val="Noto Sans CJK SC"/>
        <charset val="134"/>
      </rPr>
      <t>灵活用工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委托代征</t>
    </r>
  </si>
  <si>
    <r>
      <rPr>
        <sz val="9"/>
        <color rgb="FF333333"/>
        <rFont val="Noto Sans CJK SC"/>
        <charset val="134"/>
      </rPr>
      <t>业务真实、合同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资金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发票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服务四流一致</t>
    </r>
  </si>
  <si>
    <t>假业务虚开发票，行政乃至刑事风险</t>
  </si>
  <si>
    <t>核查灵活用工业务真实性与发票</t>
  </si>
  <si>
    <r>
      <rPr>
        <sz val="9"/>
        <color rgb="FF333333"/>
        <rFont val="Noto Sans CJK SC"/>
        <charset val="134"/>
      </rPr>
      <t xml:space="preserve">与主表 </t>
    </r>
    <r>
      <rPr>
        <sz val="9"/>
        <color rgb="FF333333"/>
        <rFont val="微软雅黑"/>
        <charset val="1"/>
      </rPr>
      <t xml:space="preserve">#35 </t>
    </r>
    <r>
      <rPr>
        <sz val="9"/>
        <color rgb="FF333333"/>
        <rFont val="Noto Sans CJK SC"/>
        <charset val="134"/>
      </rPr>
      <t>同源</t>
    </r>
    <r>
      <rPr>
        <sz val="9"/>
        <color rgb="FF333333"/>
        <rFont val="微软雅黑"/>
        <charset val="1"/>
      </rPr>
      <t>;</t>
    </r>
    <r>
      <rPr>
        <sz val="9"/>
        <color rgb="FF333333"/>
        <rFont val="Noto Sans CJK SC"/>
        <charset val="134"/>
      </rPr>
      <t>虚开有刑事风险</t>
    </r>
  </si>
  <si>
    <t>个税专项附加扣除</t>
  </si>
  <si>
    <t>《个人所得税法》</t>
  </si>
  <si>
    <t>收集并留存员工专项附加扣除资料</t>
  </si>
  <si>
    <t>资料缺失被纳税调整</t>
  </si>
  <si>
    <t>抽查专项附加扣除资料留存</t>
  </si>
  <si>
    <t>专项附加扣除资料留存规范</t>
  </si>
  <si>
    <r>
      <rPr>
        <sz val="9"/>
        <color rgb="FF333333"/>
        <rFont val="Noto Sans CJK SC"/>
        <charset val="134"/>
      </rPr>
      <t>补贴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福利个税</t>
    </r>
  </si>
  <si>
    <t>各类补贴福利依规并入计税或合规免税</t>
  </si>
  <si>
    <r>
      <rPr>
        <sz val="9"/>
        <color rgb="FF333333"/>
        <rFont val="Noto Sans CJK SC"/>
        <charset val="134"/>
      </rPr>
      <t>高温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通讯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餐补等未并入计税或未代扣</t>
    </r>
  </si>
  <si>
    <t>核查补贴福利的个税处理</t>
  </si>
  <si>
    <t>补贴福利计税口径表</t>
  </si>
  <si>
    <r>
      <rPr>
        <sz val="9"/>
        <color rgb="FF333333"/>
        <rFont val="Noto Sans CJK SC"/>
        <charset val="134"/>
      </rPr>
      <t>★关联社保基数排除项设计</t>
    </r>
    <r>
      <rPr>
        <sz val="9"/>
        <color rgb="FF333333"/>
        <rFont val="微软雅黑"/>
        <charset val="1"/>
      </rPr>
      <t>(</t>
    </r>
    <r>
      <rPr>
        <sz val="9"/>
        <color rgb="FF333333"/>
        <rFont val="Noto Sans CJK SC"/>
        <charset val="134"/>
      </rPr>
      <t>防暑降温费等</t>
    </r>
    <r>
      <rPr>
        <sz val="9"/>
        <color rgb="FF333333"/>
        <rFont val="微软雅黑"/>
        <charset val="1"/>
      </rPr>
      <t>)</t>
    </r>
  </si>
  <si>
    <t>年终奖计税</t>
  </si>
  <si>
    <t>个税年终奖计税政策</t>
  </si>
  <si>
    <r>
      <rPr>
        <sz val="9"/>
        <color rgb="FF333333"/>
        <rFont val="Noto Sans CJK SC"/>
        <charset val="134"/>
      </rPr>
      <t>合理选择单独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合并计税方式</t>
    </r>
  </si>
  <si>
    <t>计税方式错误，多缴或漏缴</t>
  </si>
  <si>
    <t>核查年终奖计税方式</t>
  </si>
  <si>
    <t>年终奖计税方式选择</t>
  </si>
  <si>
    <t>残保金</t>
  </si>
  <si>
    <t>残疾人就业保障金政策</t>
  </si>
  <si>
    <t>按比例安排残疾人就业或缴纳残保金</t>
  </si>
  <si>
    <r>
      <rPr>
        <sz val="9"/>
        <color rgb="FF333333"/>
        <rFont val="Noto Sans CJK SC"/>
        <charset val="134"/>
      </rPr>
      <t>漏缴</t>
    </r>
    <r>
      <rPr>
        <sz val="9"/>
        <color rgb="FF333333"/>
        <rFont val="微软雅黑"/>
        <charset val="1"/>
      </rPr>
      <t>/</t>
    </r>
    <r>
      <rPr>
        <sz val="9"/>
        <color rgb="FF333333"/>
        <rFont val="Noto Sans CJK SC"/>
        <charset val="134"/>
      </rPr>
      <t>少缴残保金被追缴</t>
    </r>
  </si>
  <si>
    <t>核查残疾人安排与残保金缴纳</t>
  </si>
  <si>
    <t>残保金核算与安排</t>
  </si>
  <si>
    <t>漏缴被追缴</t>
  </si>
  <si>
    <t>工会经费</t>
  </si>
  <si>
    <r>
      <rPr>
        <sz val="9"/>
        <color rgb="FF333333"/>
        <rFont val="Noto Sans CJK SC"/>
        <charset val="134"/>
      </rPr>
      <t>按工资总额</t>
    </r>
    <r>
      <rPr>
        <sz val="9"/>
        <color rgb="FF333333"/>
        <rFont val="微软雅黑"/>
        <charset val="1"/>
      </rPr>
      <t>2%</t>
    </r>
    <r>
      <rPr>
        <sz val="9"/>
        <color rgb="FF333333"/>
        <rFont val="Noto Sans CJK SC"/>
        <charset val="134"/>
      </rPr>
      <t>计提工会经费</t>
    </r>
  </si>
  <si>
    <t>漏计提工会经费</t>
  </si>
  <si>
    <t>核查工会经费计提</t>
  </si>
  <si>
    <t>工会经费计提规范</t>
  </si>
  <si>
    <r>
      <rPr>
        <sz val="9"/>
        <color rgb="FF333333"/>
        <rFont val="Noto Sans CJK SC"/>
        <charset val="134"/>
      </rPr>
      <t>按工资总额</t>
    </r>
    <r>
      <rPr>
        <sz val="9"/>
        <color rgb="FF333333"/>
        <rFont val="微软雅黑"/>
        <charset val="1"/>
      </rPr>
      <t>2%</t>
    </r>
    <r>
      <rPr>
        <sz val="9"/>
        <color rgb="FF333333"/>
        <rFont val="Noto Sans CJK SC"/>
        <charset val="134"/>
      </rPr>
      <t>计提</t>
    </r>
  </si>
  <si>
    <t>社保入税征管</t>
  </si>
  <si>
    <t>社保入税征管政策</t>
  </si>
  <si>
    <t>税务统一征收，历史欠缴可被追征</t>
  </si>
  <si>
    <t>历史欠缴在稽核中暴露被追征</t>
  </si>
  <si>
    <t>评估历史欠缴敞口</t>
  </si>
  <si>
    <r>
      <rPr>
        <sz val="9"/>
        <color rgb="FF333333"/>
        <rFont val="Noto Sans CJK SC"/>
        <charset val="134"/>
      </rPr>
      <t xml:space="preserve">历史敞口测算 </t>
    </r>
    <r>
      <rPr>
        <sz val="9"/>
        <color rgb="FF333333"/>
        <rFont val="微软雅黑"/>
        <charset val="1"/>
      </rPr>
      <t xml:space="preserve">+ </t>
    </r>
    <r>
      <rPr>
        <sz val="9"/>
        <color rgb="FF333333"/>
        <rFont val="Noto Sans CJK SC"/>
        <charset val="134"/>
      </rPr>
      <t>化解方案</t>
    </r>
  </si>
  <si>
    <r>
      <rPr>
        <sz val="9"/>
        <color rgb="FF333333"/>
        <rFont val="Noto Sans CJK SC"/>
        <charset val="134"/>
      </rPr>
      <t>★社保入税</t>
    </r>
    <r>
      <rPr>
        <sz val="9"/>
        <color rgb="FF333333"/>
        <rFont val="微软雅黑"/>
        <charset val="1"/>
      </rPr>
      <t>:</t>
    </r>
    <r>
      <rPr>
        <sz val="9"/>
        <color rgb="FF333333"/>
        <rFont val="Noto Sans CJK SC"/>
        <charset val="134"/>
      </rPr>
      <t>历史欠缴可被追征</t>
    </r>
  </si>
  <si>
    <t>风险汇总与应对方案</t>
  </si>
  <si>
    <r>
      <rPr>
        <b/>
        <sz val="9"/>
        <color rgb="FF378ADD"/>
        <rFont val="Noto Sans CJK SC"/>
        <charset val="134"/>
      </rPr>
      <t xml:space="preserve">★ 已改为公式联动 —— 主表 </t>
    </r>
    <r>
      <rPr>
        <b/>
        <sz val="9"/>
        <color rgb="FF378ADD"/>
        <rFont val="微软雅黑"/>
        <charset val="1"/>
      </rPr>
      <t xml:space="preserve">K </t>
    </r>
    <r>
      <rPr>
        <b/>
        <sz val="9"/>
        <color rgb="FF378ADD"/>
        <rFont val="Noto Sans CJK SC"/>
        <charset val="134"/>
      </rPr>
      <t>列判定一填</t>
    </r>
    <r>
      <rPr>
        <b/>
        <sz val="9"/>
        <color rgb="FF378ADD"/>
        <rFont val="微软雅黑"/>
        <charset val="1"/>
      </rPr>
      <t>,</t>
    </r>
    <r>
      <rPr>
        <b/>
        <sz val="9"/>
        <color rgb="FF378ADD"/>
        <rFont val="Noto Sans CJK SC"/>
        <charset val="134"/>
      </rPr>
      <t>此表自动跳数</t>
    </r>
    <r>
      <rPr>
        <b/>
        <sz val="9"/>
        <color rgb="FF378ADD"/>
        <rFont val="微软雅黑"/>
        <charset val="1"/>
      </rPr>
      <t>,</t>
    </r>
    <r>
      <rPr>
        <b/>
        <sz val="9"/>
        <color rgb="FF378ADD"/>
        <rFont val="Noto Sans CJK SC"/>
        <charset val="134"/>
      </rPr>
      <t>不再手工统计。</t>
    </r>
  </si>
  <si>
    <t>高风险</t>
  </si>
  <si>
    <t>中风险</t>
  </si>
  <si>
    <t>低风险</t>
  </si>
  <si>
    <t>合规</t>
  </si>
  <si>
    <t>待核实</t>
  </si>
  <si>
    <r>
      <rPr>
        <b/>
        <sz val="10"/>
        <color rgb="FFFFFFFF"/>
        <rFont val="Noto Sans CJK SC"/>
        <charset val="134"/>
      </rPr>
      <t>固有高风险项</t>
    </r>
    <r>
      <rPr>
        <b/>
        <sz val="10"/>
        <color rgb="FFFFFFFF"/>
        <rFont val="微软雅黑"/>
        <charset val="1"/>
      </rPr>
      <t>(★≥4)</t>
    </r>
  </si>
  <si>
    <t>应对优先级</t>
  </si>
  <si>
    <t>责任人</t>
  </si>
  <si>
    <t>计划完成时间</t>
  </si>
  <si>
    <t>备注</t>
  </si>
  <si>
    <t>合计</t>
  </si>
  <si>
    <r>
      <rPr>
        <b/>
        <sz val="10"/>
        <color rgb="FF0C447C"/>
        <rFont val="Noto Sans CJK SC"/>
        <charset val="134"/>
      </rPr>
      <t>★ 优先级读法</t>
    </r>
    <r>
      <rPr>
        <b/>
        <sz val="10"/>
        <color rgb="FF0C447C"/>
        <rFont val="微软雅黑"/>
        <charset val="1"/>
      </rPr>
      <t xml:space="preserve">:① </t>
    </r>
    <r>
      <rPr>
        <b/>
        <sz val="10"/>
        <color rgb="FF0C447C"/>
        <rFont val="Noto Sans CJK SC"/>
        <charset val="134"/>
      </rPr>
      <t xml:space="preserve">高 </t>
    </r>
    <r>
      <rPr>
        <b/>
        <sz val="10"/>
        <color rgb="FF0C447C"/>
        <rFont val="微软雅黑"/>
        <charset val="1"/>
      </rPr>
      <t xml:space="preserve">= </t>
    </r>
    <r>
      <rPr>
        <b/>
        <sz val="10"/>
        <color rgb="FF0C447C"/>
        <rFont val="Noto Sans CJK SC"/>
        <charset val="134"/>
      </rPr>
      <t>有高风险项</t>
    </r>
    <r>
      <rPr>
        <b/>
        <sz val="10"/>
        <color rgb="FF0C447C"/>
        <rFont val="微软雅黑"/>
        <charset val="1"/>
      </rPr>
      <t>,</t>
    </r>
    <r>
      <rPr>
        <b/>
        <sz val="10"/>
        <color rgb="FF0C447C"/>
        <rFont val="Noto Sans CJK SC"/>
        <charset val="134"/>
      </rPr>
      <t>须优先</t>
    </r>
    <r>
      <rPr>
        <b/>
        <sz val="10"/>
        <color rgb="FF0C447C"/>
        <rFont val="微软雅黑"/>
        <charset val="1"/>
      </rPr>
      <t xml:space="preserve">;⑤ </t>
    </r>
    <r>
      <rPr>
        <b/>
        <sz val="10"/>
        <color rgb="FF0C447C"/>
        <rFont val="Noto Sans CJK SC"/>
        <charset val="134"/>
      </rPr>
      <t xml:space="preserve">合规 </t>
    </r>
    <r>
      <rPr>
        <b/>
        <sz val="10"/>
        <color rgb="FF0C447C"/>
        <rFont val="微软雅黑"/>
        <charset val="1"/>
      </rPr>
      <t xml:space="preserve">= </t>
    </r>
    <r>
      <rPr>
        <b/>
        <sz val="10"/>
        <color rgb="FF0C447C"/>
        <rFont val="Noto Sans CJK SC"/>
        <charset val="134"/>
      </rPr>
      <t>该板块无问题。
★「固有高风险项</t>
    </r>
    <r>
      <rPr>
        <b/>
        <sz val="10"/>
        <color rgb="FF0C447C"/>
        <rFont val="微软雅黑"/>
        <charset val="1"/>
      </rPr>
      <t>(★≥4)</t>
    </r>
    <r>
      <rPr>
        <b/>
        <sz val="10"/>
        <color rgb="FF0C447C"/>
        <rFont val="Noto Sans CJK SC"/>
        <charset val="134"/>
      </rPr>
      <t>」是该板块本身的固有雷区数量</t>
    </r>
    <r>
      <rPr>
        <b/>
        <sz val="10"/>
        <color rgb="FF0C447C"/>
        <rFont val="微软雅黑"/>
        <charset val="1"/>
      </rPr>
      <t>,</t>
    </r>
    <r>
      <rPr>
        <b/>
        <sz val="10"/>
        <color rgb="FF0C447C"/>
        <rFont val="Noto Sans CJK SC"/>
        <charset val="134"/>
      </rPr>
      <t>与本次判定无关 —— 即使本次判定为合规</t>
    </r>
    <r>
      <rPr>
        <b/>
        <sz val="10"/>
        <color rgb="FF0C447C"/>
        <rFont val="微软雅黑"/>
        <charset val="1"/>
      </rPr>
      <t>,</t>
    </r>
    <r>
      <rPr>
        <b/>
        <sz val="10"/>
        <color rgb="FF0C447C"/>
        <rFont val="Noto Sans CJK SC"/>
        <charset val="134"/>
      </rPr>
      <t xml:space="preserve">这些项仍须持续管控。
★ 责任人 </t>
    </r>
    <r>
      <rPr>
        <b/>
        <sz val="10"/>
        <color rgb="FF0C447C"/>
        <rFont val="微软雅黑"/>
        <charset val="1"/>
      </rPr>
      <t xml:space="preserve">/ </t>
    </r>
    <r>
      <rPr>
        <b/>
        <sz val="10"/>
        <color rgb="FF0C447C"/>
        <rFont val="Noto Sans CJK SC"/>
        <charset val="134"/>
      </rPr>
      <t xml:space="preserve">完成时间 </t>
    </r>
    <r>
      <rPr>
        <b/>
        <sz val="10"/>
        <color rgb="FF0C447C"/>
        <rFont val="微软雅黑"/>
        <charset val="1"/>
      </rPr>
      <t xml:space="preserve">/ </t>
    </r>
    <r>
      <rPr>
        <b/>
        <sz val="10"/>
        <color rgb="FF0C447C"/>
        <rFont val="Noto Sans CJK SC"/>
        <charset val="134"/>
      </rPr>
      <t>备注 三列为手填</t>
    </r>
    <r>
      <rPr>
        <b/>
        <sz val="10"/>
        <color rgb="FF0C447C"/>
        <rFont val="微软雅黑"/>
        <charset val="1"/>
      </rPr>
      <t>,</t>
    </r>
    <r>
      <rPr>
        <b/>
        <sz val="10"/>
        <color rgb="FF0C447C"/>
        <rFont val="Noto Sans CJK SC"/>
        <charset val="134"/>
      </rPr>
      <t>用于整改跟踪与陪跑。</t>
    </r>
  </si>
  <si>
    <r>
      <rPr>
        <b/>
        <sz val="14"/>
        <color rgb="FF0C447C"/>
        <rFont val="Noto Sans CJK SC"/>
        <charset val="134"/>
      </rPr>
      <t>交付清单汇总 —— 诊断完</t>
    </r>
    <r>
      <rPr>
        <b/>
        <sz val="14"/>
        <color rgb="FF0C447C"/>
        <rFont val="微软雅黑"/>
        <charset val="1"/>
      </rPr>
      <t>,</t>
    </r>
    <r>
      <rPr>
        <b/>
        <sz val="14"/>
        <color rgb="FF0C447C"/>
        <rFont val="Noto Sans CJK SC"/>
        <charset val="134"/>
      </rPr>
      <t>交付量当场可见</t>
    </r>
  </si>
  <si>
    <r>
      <rPr>
        <b/>
        <sz val="9"/>
        <color rgb="FF378ADD"/>
        <rFont val="Noto Sans CJK SC"/>
        <charset val="134"/>
      </rPr>
      <t xml:space="preserve">只统计判定为「高风险 </t>
    </r>
    <r>
      <rPr>
        <b/>
        <sz val="9"/>
        <color rgb="FF378ADD"/>
        <rFont val="微软雅黑"/>
        <charset val="1"/>
      </rPr>
      <t xml:space="preserve">/ </t>
    </r>
    <r>
      <rPr>
        <b/>
        <sz val="9"/>
        <color rgb="FF378ADD"/>
        <rFont val="Noto Sans CJK SC"/>
        <charset val="134"/>
      </rPr>
      <t xml:space="preserve">中风险 </t>
    </r>
    <r>
      <rPr>
        <b/>
        <sz val="9"/>
        <color rgb="FF378ADD"/>
        <rFont val="微软雅黑"/>
        <charset val="1"/>
      </rPr>
      <t xml:space="preserve">/ </t>
    </r>
    <r>
      <rPr>
        <b/>
        <sz val="9"/>
        <color rgb="FF378ADD"/>
        <rFont val="Noto Sans CJK SC"/>
        <charset val="134"/>
      </rPr>
      <t>待核实」的项</t>
    </r>
    <r>
      <rPr>
        <b/>
        <sz val="9"/>
        <color rgb="FF378ADD"/>
        <rFont val="微软雅黑"/>
        <charset val="1"/>
      </rPr>
      <t>(</t>
    </r>
    <r>
      <rPr>
        <b/>
        <sz val="9"/>
        <color rgb="FF378ADD"/>
        <rFont val="Noto Sans CJK SC"/>
        <charset val="134"/>
      </rPr>
      <t xml:space="preserve">判定为合规 </t>
    </r>
    <r>
      <rPr>
        <b/>
        <sz val="9"/>
        <color rgb="FF378ADD"/>
        <rFont val="微软雅黑"/>
        <charset val="1"/>
      </rPr>
      <t xml:space="preserve">/ </t>
    </r>
    <r>
      <rPr>
        <b/>
        <sz val="9"/>
        <color rgb="FF378ADD"/>
        <rFont val="Noto Sans CJK SC"/>
        <charset val="134"/>
      </rPr>
      <t>低风险的不进交付</t>
    </r>
    <r>
      <rPr>
        <b/>
        <sz val="9"/>
        <color rgb="FF378ADD"/>
        <rFont val="微软雅黑"/>
        <charset val="1"/>
      </rPr>
      <t>)</t>
    </r>
    <r>
      <rPr>
        <b/>
        <sz val="9"/>
        <color rgb="FF378ADD"/>
        <rFont val="Noto Sans CJK SC"/>
        <charset val="134"/>
      </rPr>
      <t>。可直接用于报价与工作量估算。</t>
    </r>
  </si>
  <si>
    <r>
      <rPr>
        <b/>
        <sz val="10"/>
        <color rgb="FF0C447C"/>
        <rFont val="Noto Sans CJK SC"/>
        <charset val="134"/>
      </rPr>
      <t>一、按分流类型</t>
    </r>
    <r>
      <rPr>
        <b/>
        <sz val="10"/>
        <color rgb="FF0C447C"/>
        <rFont val="微软雅黑"/>
        <charset val="1"/>
      </rPr>
      <t>(</t>
    </r>
    <r>
      <rPr>
        <b/>
        <sz val="10"/>
        <color rgb="FF0C447C"/>
        <rFont val="Noto Sans CJK SC"/>
        <charset val="134"/>
      </rPr>
      <t>决定交付形态与收费方式</t>
    </r>
    <r>
      <rPr>
        <b/>
        <sz val="10"/>
        <color rgb="FF0C447C"/>
        <rFont val="微软雅黑"/>
        <charset val="1"/>
      </rPr>
      <t>)</t>
    </r>
  </si>
  <si>
    <t>分流类型</t>
  </si>
  <si>
    <t>需交付项数</t>
  </si>
  <si>
    <t>占比</t>
  </si>
  <si>
    <r>
      <rPr>
        <b/>
        <sz val="10"/>
        <color rgb="FFFFFFFF"/>
        <rFont val="Noto Sans CJK SC"/>
        <charset val="134"/>
      </rPr>
      <t xml:space="preserve">含义 </t>
    </r>
    <r>
      <rPr>
        <b/>
        <sz val="10"/>
        <color rgb="FFFFFFFF"/>
        <rFont val="微软雅黑"/>
        <charset val="1"/>
      </rPr>
      <t xml:space="preserve">/ </t>
    </r>
    <r>
      <rPr>
        <b/>
        <sz val="10"/>
        <color rgb="FFFFFFFF"/>
        <rFont val="Noto Sans CJK SC"/>
        <charset val="134"/>
      </rPr>
      <t>交付形态与收费</t>
    </r>
  </si>
  <si>
    <t>文本型 —— 从模板库挑、填变量即可。零边际成本。含在方案定制费内</t>
  </si>
  <si>
    <r>
      <rPr>
        <sz val="10"/>
        <color rgb="FF333333"/>
        <rFont val="Noto Sans CJK SC"/>
        <charset val="134"/>
      </rPr>
      <t xml:space="preserve">流程型 —— </t>
    </r>
    <r>
      <rPr>
        <sz val="10"/>
        <color rgb="FF333333"/>
        <rFont val="微软雅黑"/>
        <charset val="1"/>
      </rPr>
      <t>SOP+</t>
    </r>
    <r>
      <rPr>
        <sz val="10"/>
        <color rgb="FF333333"/>
        <rFont val="Noto Sans CJK SC"/>
        <charset val="134"/>
      </rPr>
      <t>台账</t>
    </r>
    <r>
      <rPr>
        <sz val="10"/>
        <color rgb="FF333333"/>
        <rFont val="微软雅黑"/>
        <charset val="1"/>
      </rPr>
      <t>+</t>
    </r>
    <r>
      <rPr>
        <sz val="10"/>
        <color rgb="FF333333"/>
        <rFont val="Noto Sans CJK SC"/>
        <charset val="134"/>
      </rPr>
      <t>培训</t>
    </r>
    <r>
      <rPr>
        <sz val="10"/>
        <color rgb="FF333333"/>
        <rFont val="微软雅黑"/>
        <charset val="1"/>
      </rPr>
      <t>,</t>
    </r>
    <r>
      <rPr>
        <sz val="10"/>
        <color rgb="FF333333"/>
        <rFont val="Noto Sans CJK SC"/>
        <charset val="134"/>
      </rPr>
      <t xml:space="preserve">须有人带着落地。★「落地指导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>陪跑」的收费依据</t>
    </r>
  </si>
  <si>
    <r>
      <rPr>
        <sz val="10"/>
        <color rgb="FF333333"/>
        <rFont val="Noto Sans CJK SC"/>
        <charset val="134"/>
      </rPr>
      <t>方案型 —— 一事一议定制</t>
    </r>
    <r>
      <rPr>
        <sz val="10"/>
        <color rgb="FF333333"/>
        <rFont val="微软雅黑"/>
        <charset val="1"/>
      </rPr>
      <t>,</t>
    </r>
    <r>
      <rPr>
        <sz val="10"/>
        <color rgb="FF333333"/>
        <rFont val="Noto Sans CJK SC"/>
        <charset val="134"/>
      </rPr>
      <t>须另填《个案信息表》。★ 高价交付</t>
    </r>
    <r>
      <rPr>
        <sz val="10"/>
        <color rgb="FF333333"/>
        <rFont val="微软雅黑"/>
        <charset val="1"/>
      </rPr>
      <t>,</t>
    </r>
    <r>
      <rPr>
        <sz val="10"/>
        <color rgb="FF333333"/>
        <rFont val="Noto Sans CJK SC"/>
        <charset val="134"/>
      </rPr>
      <t xml:space="preserve">按项目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>按事件收费</t>
    </r>
  </si>
  <si>
    <r>
      <rPr>
        <b/>
        <sz val="10"/>
        <color rgb="FF0C447C"/>
        <rFont val="Noto Sans CJK SC"/>
        <charset val="134"/>
      </rPr>
      <t>二、按建议期次</t>
    </r>
    <r>
      <rPr>
        <b/>
        <sz val="10"/>
        <color rgb="FF0C447C"/>
        <rFont val="微软雅黑"/>
        <charset val="1"/>
      </rPr>
      <t>(</t>
    </r>
    <r>
      <rPr>
        <b/>
        <sz val="10"/>
        <color rgb="FF0C447C"/>
        <rFont val="Noto Sans CJK SC"/>
        <charset val="134"/>
      </rPr>
      <t>决定分期方案与报价结构</t>
    </r>
    <r>
      <rPr>
        <b/>
        <sz val="10"/>
        <color rgb="FF0C447C"/>
        <rFont val="微软雅黑"/>
        <charset val="1"/>
      </rPr>
      <t>)</t>
    </r>
  </si>
  <si>
    <t>建议期次</t>
  </si>
  <si>
    <t>说明</t>
  </si>
  <si>
    <t>不能等。诊断当天必须跟老板讲 —— 这是你的「必讲清单」</t>
  </si>
  <si>
    <r>
      <rPr>
        <sz val="10"/>
        <color rgb="FF333333"/>
        <rFont val="Noto Sans CJK SC"/>
        <charset val="134"/>
      </rPr>
      <t>一期</t>
    </r>
    <r>
      <rPr>
        <sz val="10"/>
        <color rgb="FF333333"/>
        <rFont val="微软雅黑"/>
        <charset val="1"/>
      </rPr>
      <t>·</t>
    </r>
    <r>
      <rPr>
        <sz val="10"/>
        <color rgb="FF333333"/>
        <rFont val="Noto Sans CJK SC"/>
        <charset val="134"/>
      </rPr>
      <t>证据</t>
    </r>
  </si>
  <si>
    <r>
      <rPr>
        <sz val="10"/>
        <color rgb="FF333333"/>
        <rFont val="Noto Sans CJK SC"/>
        <charset val="134"/>
      </rPr>
      <t>制度合法、民主程序、留痕。★ 几乎不增加用工成本</t>
    </r>
    <r>
      <rPr>
        <sz val="10"/>
        <color rgb="FF333333"/>
        <rFont val="微软雅黑"/>
        <charset val="1"/>
      </rPr>
      <t>,</t>
    </r>
    <r>
      <rPr>
        <sz val="10"/>
        <color rgb="FF333333"/>
        <rFont val="Noto Sans CJK SC"/>
        <charset val="134"/>
      </rPr>
      <t>做完拿回管理权。信任起手式</t>
    </r>
  </si>
  <si>
    <r>
      <rPr>
        <sz val="10"/>
        <color rgb="FF333333"/>
        <rFont val="Noto Sans CJK SC"/>
        <charset val="134"/>
      </rPr>
      <t>二期</t>
    </r>
    <r>
      <rPr>
        <sz val="10"/>
        <color rgb="FF333333"/>
        <rFont val="微软雅黑"/>
        <charset val="1"/>
      </rPr>
      <t>·</t>
    </r>
    <r>
      <rPr>
        <sz val="10"/>
        <color rgb="FF333333"/>
        <rFont val="Noto Sans CJK SC"/>
        <charset val="134"/>
      </rPr>
      <t>结构</t>
    </r>
  </si>
  <si>
    <r>
      <rPr>
        <sz val="10"/>
        <color rgb="FF333333"/>
        <rFont val="Noto Sans CJK SC"/>
        <charset val="134"/>
      </rPr>
      <t>主体、用工形式、薪酬结构。底座 —— 逻辑上最先想</t>
    </r>
    <r>
      <rPr>
        <sz val="10"/>
        <color rgb="FF333333"/>
        <rFont val="微软雅黑"/>
        <charset val="1"/>
      </rPr>
      <t>,</t>
    </r>
    <r>
      <rPr>
        <sz val="10"/>
        <color rgb="FF333333"/>
        <rFont val="Noto Sans CJK SC"/>
        <charset val="134"/>
      </rPr>
      <t>动手可放第二期</t>
    </r>
  </si>
  <si>
    <r>
      <rPr>
        <sz val="10"/>
        <color rgb="FF333333"/>
        <rFont val="Noto Sans CJK SC"/>
        <charset val="134"/>
      </rPr>
      <t>三期</t>
    </r>
    <r>
      <rPr>
        <sz val="10"/>
        <color rgb="FF333333"/>
        <rFont val="微软雅黑"/>
        <charset val="1"/>
      </rPr>
      <t>·</t>
    </r>
    <r>
      <rPr>
        <sz val="10"/>
        <color rgb="FF333333"/>
        <rFont val="Noto Sans CJK SC"/>
        <charset val="134"/>
      </rPr>
      <t>负债</t>
    </r>
  </si>
  <si>
    <r>
      <rPr>
        <sz val="10"/>
        <color rgb="FF333333"/>
        <rFont val="Noto Sans CJK SC"/>
        <charset val="134"/>
      </rPr>
      <t>社保基数、加班费、工时。★ 最贵</t>
    </r>
    <r>
      <rPr>
        <sz val="10"/>
        <color rgb="FF333333"/>
        <rFont val="微软雅黑"/>
        <charset val="1"/>
      </rPr>
      <t>,</t>
    </r>
    <r>
      <rPr>
        <sz val="10"/>
        <color rgb="FF333333"/>
        <rFont val="Noto Sans CJK SC"/>
        <charset val="134"/>
      </rPr>
      <t xml:space="preserve">分 </t>
    </r>
    <r>
      <rPr>
        <sz val="10"/>
        <color rgb="FF333333"/>
        <rFont val="微软雅黑"/>
        <charset val="1"/>
      </rPr>
      <t xml:space="preserve">2–3 </t>
    </r>
    <r>
      <rPr>
        <sz val="10"/>
        <color rgb="FF333333"/>
        <rFont val="Noto Sans CJK SC"/>
        <charset val="134"/>
      </rPr>
      <t>年</t>
    </r>
    <r>
      <rPr>
        <sz val="10"/>
        <color rgb="FF333333"/>
        <rFont val="微软雅黑"/>
        <charset val="1"/>
      </rPr>
      <t>,</t>
    </r>
    <r>
      <rPr>
        <sz val="10"/>
        <color rgb="FF333333"/>
        <rFont val="Noto Sans CJK SC"/>
        <charset val="134"/>
      </rPr>
      <t>用工具对冲</t>
    </r>
  </si>
  <si>
    <r>
      <rPr>
        <sz val="10"/>
        <color rgb="FF333333"/>
        <rFont val="Noto Sans CJK SC"/>
        <charset val="134"/>
      </rPr>
      <t>选配</t>
    </r>
    <r>
      <rPr>
        <sz val="10"/>
        <color rgb="FF333333"/>
        <rFont val="微软雅黑"/>
        <charset val="1"/>
      </rPr>
      <t>·</t>
    </r>
    <r>
      <rPr>
        <sz val="10"/>
        <color rgb="FF333333"/>
        <rFont val="Noto Sans CJK SC"/>
        <charset val="134"/>
      </rPr>
      <t>按业务</t>
    </r>
  </si>
  <si>
    <r>
      <rPr>
        <sz val="10"/>
        <color rgb="FF333333"/>
        <rFont val="Noto Sans CJK SC"/>
        <charset val="134"/>
      </rPr>
      <t>商密、竞业、</t>
    </r>
    <r>
      <rPr>
        <sz val="10"/>
        <color rgb="FF333333"/>
        <rFont val="微软雅黑"/>
        <charset val="1"/>
      </rPr>
      <t>IP</t>
    </r>
    <r>
      <rPr>
        <sz val="10"/>
        <color rgb="FF333333"/>
        <rFont val="Noto Sans CJK SC"/>
        <charset val="134"/>
      </rPr>
      <t xml:space="preserve">、高管。技术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>销售型必做</t>
    </r>
    <r>
      <rPr>
        <sz val="10"/>
        <color rgb="FF333333"/>
        <rFont val="微软雅黑"/>
        <charset val="1"/>
      </rPr>
      <t>,</t>
    </r>
    <r>
      <rPr>
        <sz val="10"/>
        <color rgb="FF333333"/>
        <rFont val="Noto Sans CJK SC"/>
        <charset val="134"/>
      </rPr>
      <t>其他可缓</t>
    </r>
  </si>
  <si>
    <r>
      <rPr>
        <sz val="10"/>
        <color rgb="FF333333"/>
        <rFont val="Noto Sans CJK SC"/>
        <charset val="134"/>
      </rPr>
      <t>备用</t>
    </r>
    <r>
      <rPr>
        <sz val="10"/>
        <color rgb="FF333333"/>
        <rFont val="微软雅黑"/>
        <charset val="1"/>
      </rPr>
      <t>·</t>
    </r>
    <r>
      <rPr>
        <sz val="10"/>
        <color rgb="FF333333"/>
        <rFont val="Noto Sans CJK SC"/>
        <charset val="134"/>
      </rPr>
      <t>用到再补</t>
    </r>
  </si>
  <si>
    <r>
      <rPr>
        <sz val="10"/>
        <color rgb="FF333333"/>
        <rFont val="Noto Sans CJK SC"/>
        <charset val="134"/>
      </rPr>
      <t>事件型</t>
    </r>
    <r>
      <rPr>
        <sz val="10"/>
        <color rgb="FF333333"/>
        <rFont val="微软雅黑"/>
        <charset val="1"/>
      </rPr>
      <t>,</t>
    </r>
    <r>
      <rPr>
        <sz val="10"/>
        <color rgb="FF333333"/>
        <rFont val="Noto Sans CJK SC"/>
        <charset val="134"/>
      </rPr>
      <t>平时零负债。★ 明确告诉客户「这些不用管」</t>
    </r>
  </si>
  <si>
    <r>
      <rPr>
        <sz val="10"/>
        <color rgb="FF333333"/>
        <rFont val="Noto Sans CJK SC"/>
        <charset val="134"/>
      </rPr>
      <t>风控线</t>
    </r>
    <r>
      <rPr>
        <sz val="10"/>
        <color rgb="FF333333"/>
        <rFont val="微软雅黑"/>
        <charset val="1"/>
      </rPr>
      <t>·</t>
    </r>
    <r>
      <rPr>
        <sz val="10"/>
        <color rgb="FF333333"/>
        <rFont val="Noto Sans CJK SC"/>
        <charset val="134"/>
      </rPr>
      <t>个案</t>
    </r>
  </si>
  <si>
    <r>
      <rPr>
        <sz val="10"/>
        <color rgb="FF333333"/>
        <rFont val="Noto Sans CJK SC"/>
        <charset val="134"/>
      </rPr>
      <t>裁员、工伤和解、仲裁应诉。走风控线</t>
    </r>
    <r>
      <rPr>
        <sz val="10"/>
        <color rgb="FF333333"/>
        <rFont val="微软雅黑"/>
        <charset val="1"/>
      </rPr>
      <t>,</t>
    </r>
    <r>
      <rPr>
        <sz val="10"/>
        <color rgb="FF333333"/>
        <rFont val="Noto Sans CJK SC"/>
        <charset val="134"/>
      </rPr>
      <t xml:space="preserve">按项目 </t>
    </r>
    <r>
      <rPr>
        <sz val="10"/>
        <color rgb="FF333333"/>
        <rFont val="微软雅黑"/>
        <charset val="1"/>
      </rPr>
      <t xml:space="preserve">/ </t>
    </r>
    <r>
      <rPr>
        <sz val="10"/>
        <color rgb="FF333333"/>
        <rFont val="Noto Sans CJK SC"/>
        <charset val="134"/>
      </rPr>
      <t>按事件收费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</si>
</sst>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45">
    <font>
      <sz val="11"/>
      <color theme="1"/>
      <name val="Calibri"/>
      <charset val="1"/>
    </font>
    <font>
      <b/>
      <sz val="14"/>
      <color rgb="FF0C447C"/>
      <name val="Noto Sans CJK SC"/>
      <charset val="134"/>
    </font>
    <font>
      <b/>
      <sz val="9"/>
      <color rgb="FF378ADD"/>
      <name val="Noto Sans CJK SC"/>
      <charset val="134"/>
    </font>
    <font>
      <b/>
      <sz val="10"/>
      <color rgb="FF0C447C"/>
      <name val="Noto Sans CJK SC"/>
      <charset val="134"/>
    </font>
    <font>
      <b/>
      <sz val="10"/>
      <color rgb="FFFFFFFF"/>
      <name val="Noto Sans CJK SC"/>
      <charset val="134"/>
    </font>
    <font>
      <b/>
      <sz val="12"/>
      <color rgb="FF1B7A3D"/>
      <name val="微软雅黑"/>
      <charset val="1"/>
    </font>
    <font>
      <b/>
      <sz val="11"/>
      <color rgb="FF0C447C"/>
      <name val="微软雅黑"/>
      <charset val="1"/>
    </font>
    <font>
      <sz val="10"/>
      <color rgb="FF333333"/>
      <name val="微软雅黑"/>
      <charset val="1"/>
    </font>
    <font>
      <sz val="10"/>
      <color rgb="FF333333"/>
      <name val="Noto Sans CJK SC"/>
      <charset val="134"/>
    </font>
    <font>
      <b/>
      <sz val="12"/>
      <color rgb="FF9A6B00"/>
      <name val="微软雅黑"/>
      <charset val="1"/>
    </font>
    <font>
      <b/>
      <sz val="12"/>
      <color rgb="FFC00000"/>
      <name val="微软雅黑"/>
      <charset val="1"/>
    </font>
    <font>
      <b/>
      <sz val="10"/>
      <color rgb="FFC00000"/>
      <name val="Noto Sans CJK SC"/>
      <charset val="134"/>
    </font>
    <font>
      <b/>
      <sz val="10"/>
      <color rgb="FFC00000"/>
      <name val="微软雅黑"/>
      <charset val="1"/>
    </font>
    <font>
      <b/>
      <sz val="9"/>
      <color rgb="FF378ADD"/>
      <name val="微软雅黑"/>
      <charset val="1"/>
    </font>
    <font>
      <sz val="9"/>
      <color rgb="FF333333"/>
      <name val="微软雅黑"/>
      <charset val="1"/>
    </font>
    <font>
      <sz val="9"/>
      <color rgb="FF333333"/>
      <name val="Noto Sans CJK SC"/>
      <charset val="134"/>
    </font>
    <font>
      <b/>
      <sz val="11"/>
      <color rgb="FFC00000"/>
      <name val="微软雅黑"/>
      <charset val="1"/>
    </font>
    <font>
      <b/>
      <sz val="9"/>
      <color rgb="FFC00000"/>
      <name val="Noto Sans CJK SC"/>
      <charset val="134"/>
    </font>
    <font>
      <b/>
      <sz val="11"/>
      <color rgb="FF9A6B00"/>
      <name val="微软雅黑"/>
      <charset val="1"/>
    </font>
    <font>
      <b/>
      <sz val="11"/>
      <color rgb="FF1B7A3D"/>
      <name val="微软雅黑"/>
      <charset val="1"/>
    </font>
    <font>
      <sz val="8"/>
      <color rgb="FFAAAAAA"/>
      <name val="微软雅黑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FFFFFF"/>
      <name val="微软雅黑"/>
      <charset val="1"/>
    </font>
    <font>
      <b/>
      <sz val="10"/>
      <color rgb="FF0C447C"/>
      <name val="微软雅黑"/>
      <charset val="1"/>
    </font>
    <font>
      <b/>
      <sz val="14"/>
      <color rgb="FF0C447C"/>
      <name val="微软雅黑"/>
      <charset val="1"/>
    </font>
  </fonts>
  <fills count="48">
    <fill>
      <patternFill patternType="none"/>
    </fill>
    <fill>
      <patternFill patternType="gray125"/>
    </fill>
    <fill>
      <patternFill patternType="solid">
        <fgColor rgb="FFB5D4F4"/>
        <bgColor rgb="FFBFD4E8"/>
      </patternFill>
    </fill>
    <fill>
      <patternFill patternType="solid">
        <fgColor rgb="FF0C447C"/>
        <bgColor rgb="FF333399"/>
      </patternFill>
    </fill>
    <fill>
      <patternFill patternType="solid">
        <fgColor rgb="FFE8F4EA"/>
        <bgColor rgb="FFEDEDED"/>
      </patternFill>
    </fill>
    <fill>
      <patternFill patternType="solid">
        <fgColor rgb="FFFFF4DC"/>
        <bgColor rgb="FFFFF3D6"/>
      </patternFill>
    </fill>
    <fill>
      <patternFill patternType="solid">
        <fgColor rgb="FFFDE7E7"/>
        <bgColor rgb="FFEDEDED"/>
      </patternFill>
    </fill>
    <fill>
      <patternFill patternType="solid">
        <fgColor rgb="FF378ADD"/>
        <bgColor rgb="FF339966"/>
      </patternFill>
    </fill>
    <fill>
      <patternFill patternType="solid">
        <fgColor rgb="FFFFD6D6"/>
        <bgColor rgb="FFF0DCDC"/>
      </patternFill>
    </fill>
    <fill>
      <patternFill patternType="solid">
        <fgColor rgb="FFFFF3D6"/>
        <bgColor rgb="FFFFF4DC"/>
      </patternFill>
    </fill>
    <fill>
      <patternFill patternType="solid">
        <fgColor rgb="FFDCE9F7"/>
        <bgColor rgb="FFEDEDED"/>
      </patternFill>
    </fill>
    <fill>
      <patternFill patternType="solid">
        <fgColor rgb="FFF0DCDC"/>
        <bgColor rgb="FFE4DCF0"/>
      </patternFill>
    </fill>
    <fill>
      <patternFill patternType="solid">
        <fgColor rgb="FFEDEDED"/>
        <bgColor rgb="FFE8F4EA"/>
      </patternFill>
    </fill>
    <fill>
      <patternFill patternType="solid">
        <fgColor rgb="FFF5F5F5"/>
        <bgColor rgb="FFFDF6E7"/>
      </patternFill>
    </fill>
    <fill>
      <patternFill patternType="solid">
        <fgColor rgb="FFE4DCF0"/>
        <bgColor rgb="FFF0DCDC"/>
      </patternFill>
    </fill>
    <fill>
      <patternFill patternType="solid">
        <fgColor rgb="FFFFF9E0"/>
        <bgColor rgb="FFFDF6E7"/>
      </patternFill>
    </fill>
    <fill>
      <patternFill patternType="solid">
        <fgColor rgb="FFFDF6E7"/>
        <bgColor rgb="FFFFF9E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D4E8"/>
      </left>
      <right/>
      <top style="thin">
        <color rgb="FFBFD4E8"/>
      </top>
      <bottom style="thin">
        <color rgb="FFBFD4E8"/>
      </bottom>
      <diagonal/>
    </border>
    <border>
      <left style="thin">
        <color rgb="FFBFD4E8"/>
      </left>
      <right style="thin">
        <color rgb="FFBFD4E8"/>
      </right>
      <top style="thin">
        <color rgb="FFBFD4E8"/>
      </top>
      <bottom style="thin">
        <color rgb="FFBFD4E8"/>
      </bottom>
      <diagonal/>
    </border>
    <border>
      <left style="thin">
        <color rgb="FFBFD4E8"/>
      </left>
      <right/>
      <top style="thin">
        <color rgb="FFBFD4E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1" fillId="0" borderId="0" applyBorder="0" applyAlignment="0" applyProtection="0"/>
    <xf numFmtId="44" fontId="21" fillId="0" borderId="0" applyBorder="0" applyAlignment="0" applyProtection="0"/>
    <xf numFmtId="9" fontId="21" fillId="0" borderId="0" applyBorder="0" applyAlignment="0" applyProtection="0"/>
    <xf numFmtId="41" fontId="21" fillId="0" borderId="0" applyBorder="0" applyAlignment="0" applyProtection="0"/>
    <xf numFmtId="42" fontId="21" fillId="0" borderId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7" borderId="4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8" borderId="7" applyNumberFormat="0" applyAlignment="0" applyProtection="0">
      <alignment vertical="center"/>
    </xf>
    <xf numFmtId="0" fontId="32" fillId="19" borderId="8" applyNumberFormat="0" applyAlignment="0" applyProtection="0">
      <alignment vertical="center"/>
    </xf>
    <xf numFmtId="0" fontId="33" fillId="19" borderId="7" applyNumberFormat="0" applyAlignment="0" applyProtection="0">
      <alignment vertical="center"/>
    </xf>
    <xf numFmtId="0" fontId="34" fillId="20" borderId="9" applyNumberFormat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</cellStyleXfs>
  <cellXfs count="46">
    <xf numFmtId="0" fontId="0" fillId="0" borderId="0" xfId="0"/>
    <xf numFmtId="0" fontId="1" fillId="0" borderId="0" xfId="0" applyFont="1" applyBorder="1"/>
    <xf numFmtId="0" fontId="2" fillId="0" borderId="0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76" fontId="7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left" vertical="center" wrapText="1"/>
    </xf>
    <xf numFmtId="0" fontId="8" fillId="12" borderId="2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left" vertical="center" wrapText="1"/>
    </xf>
    <xf numFmtId="0" fontId="8" fillId="14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15" borderId="2" xfId="0" applyFont="1" applyFill="1" applyBorder="1" applyAlignment="1">
      <alignment horizontal="center" vertical="center" wrapText="1"/>
    </xf>
    <xf numFmtId="0" fontId="3" fillId="16" borderId="3" xfId="0" applyFont="1" applyFill="1" applyBorder="1" applyAlignment="1">
      <alignment vertical="center" wrapText="1"/>
    </xf>
    <xf numFmtId="0" fontId="13" fillId="0" borderId="0" xfId="0" applyFont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14" fillId="15" borderId="2" xfId="0" applyFont="1" applyFill="1" applyBorder="1" applyAlignment="1">
      <alignment horizontal="left" vertical="center" wrapText="1"/>
    </xf>
    <xf numFmtId="0" fontId="14" fillId="15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5" fillId="11" borderId="2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5" fillId="13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 wrapText="1"/>
    </xf>
    <xf numFmtId="0" fontId="15" fillId="14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7" fillId="15" borderId="2" xfId="0" applyFont="1" applyFill="1" applyBorder="1" applyAlignment="1">
      <alignment vertical="center" wrapText="1"/>
    </xf>
    <xf numFmtId="0" fontId="7" fillId="0" borderId="2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B7A3D"/>
      <rgbColor rgb="00000080"/>
      <rgbColor rgb="009A6B00"/>
      <rgbColor rgb="00800080"/>
      <rgbColor rgb="00008080"/>
      <rgbColor rgb="00E4DCF0"/>
      <rgbColor rgb="00808080"/>
      <rgbColor rgb="00F5F5F5"/>
      <rgbColor rgb="00993366"/>
      <rgbColor rgb="00FFF9E0"/>
      <rgbColor rgb="00E8F4EA"/>
      <rgbColor rgb="00660066"/>
      <rgbColor rgb="00FF8080"/>
      <rgbColor rgb="000066CC"/>
      <rgbColor rgb="00BFD4E8"/>
      <rgbColor rgb="00000080"/>
      <rgbColor rgb="00FF00FF"/>
      <rgbColor rgb="00FDF6E7"/>
      <rgbColor rgb="0000FFFF"/>
      <rgbColor rgb="00800080"/>
      <rgbColor rgb="00800000"/>
      <rgbColor rgb="00008080"/>
      <rgbColor rgb="000000FF"/>
      <rgbColor rgb="0000CCFF"/>
      <rgbColor rgb="00DCE9F7"/>
      <rgbColor rgb="00EDEDED"/>
      <rgbColor rgb="00FFF3D6"/>
      <rgbColor rgb="00B5D4F4"/>
      <rgbColor rgb="00F0DCDC"/>
      <rgbColor rgb="00FDE7E7"/>
      <rgbColor rgb="00FFD6D6"/>
      <rgbColor rgb="00378ADD"/>
      <rgbColor rgb="0033CCCC"/>
      <rgbColor rgb="0099CC00"/>
      <rgbColor rgb="00FFCC00"/>
      <rgbColor rgb="00FF9900"/>
      <rgbColor rgb="00FF6600"/>
      <rgbColor rgb="00666699"/>
      <rgbColor rgb="00AAAAAA"/>
      <rgbColor rgb="000C447C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pane ySplit="4" topLeftCell="A5" activePane="bottomLeft" state="frozen"/>
      <selection/>
      <selection pane="bottomLeft" activeCell="C22" sqref="C22"/>
    </sheetView>
  </sheetViews>
  <sheetFormatPr defaultColWidth="8.67857142857143" defaultRowHeight="16.8" outlineLevelCol="4"/>
  <cols>
    <col min="1" max="1" width="16" customWidth="1"/>
    <col min="2" max="2" width="24" customWidth="1"/>
    <col min="3" max="3" width="30" customWidth="1"/>
    <col min="4" max="4" width="44" customWidth="1"/>
    <col min="5" max="5" width="32" customWidth="1"/>
  </cols>
  <sheetData>
    <row r="1" ht="27.75" customHeight="1" spans="1:5">
      <c r="A1" s="1" t="s">
        <v>0</v>
      </c>
      <c r="B1" s="1"/>
      <c r="C1" s="1"/>
      <c r="D1" s="1"/>
      <c r="E1" s="1"/>
    </row>
    <row r="2" ht="25.5" customHeight="1" spans="1:5">
      <c r="A2" s="2" t="s">
        <v>1</v>
      </c>
      <c r="B2" s="2"/>
      <c r="C2" s="2"/>
      <c r="D2" s="2"/>
      <c r="E2" s="2"/>
    </row>
    <row r="4" ht="36" customHeight="1" spans="1:5">
      <c r="A4" s="19" t="s">
        <v>2</v>
      </c>
      <c r="B4" s="19" t="s">
        <v>3</v>
      </c>
      <c r="C4" s="19" t="s">
        <v>4</v>
      </c>
      <c r="D4" s="19" t="s">
        <v>5</v>
      </c>
      <c r="E4" s="19" t="s">
        <v>6</v>
      </c>
    </row>
    <row r="5" ht="19.5" customHeight="1" spans="1:5">
      <c r="A5" s="3" t="s">
        <v>7</v>
      </c>
      <c r="B5" s="3"/>
      <c r="C5" s="3"/>
      <c r="D5" s="3"/>
      <c r="E5" s="3"/>
    </row>
    <row r="6" ht="30" customHeight="1" spans="1:5">
      <c r="A6" s="42" t="s">
        <v>8</v>
      </c>
      <c r="B6" s="43" t="s">
        <v>9</v>
      </c>
      <c r="C6" s="44"/>
      <c r="D6" s="43" t="s">
        <v>10</v>
      </c>
      <c r="E6" s="43" t="s">
        <v>11</v>
      </c>
    </row>
    <row r="7" ht="30" customHeight="1" spans="1:5">
      <c r="A7" s="42" t="s">
        <v>12</v>
      </c>
      <c r="B7" s="43" t="s">
        <v>13</v>
      </c>
      <c r="C7" s="44"/>
      <c r="D7" s="43"/>
      <c r="E7" s="43" t="s">
        <v>14</v>
      </c>
    </row>
    <row r="8" ht="30" customHeight="1" spans="1:5">
      <c r="A8" s="42" t="s">
        <v>15</v>
      </c>
      <c r="B8" s="43" t="s">
        <v>16</v>
      </c>
      <c r="C8" s="44"/>
      <c r="D8" s="43"/>
      <c r="E8" s="43" t="s">
        <v>17</v>
      </c>
    </row>
    <row r="9" ht="30" customHeight="1" spans="1:5">
      <c r="A9" s="42" t="s">
        <v>18</v>
      </c>
      <c r="B9" s="43" t="s">
        <v>19</v>
      </c>
      <c r="C9" s="44"/>
      <c r="D9" s="43"/>
      <c r="E9" s="43" t="s">
        <v>20</v>
      </c>
    </row>
    <row r="10" ht="30" customHeight="1" spans="1:5">
      <c r="A10" s="42" t="s">
        <v>21</v>
      </c>
      <c r="B10" s="43" t="s">
        <v>22</v>
      </c>
      <c r="C10" s="44"/>
      <c r="D10" s="43" t="s">
        <v>23</v>
      </c>
      <c r="E10" s="43" t="s">
        <v>24</v>
      </c>
    </row>
    <row r="11" ht="30" customHeight="1" spans="1:5">
      <c r="A11" s="42" t="s">
        <v>25</v>
      </c>
      <c r="B11" s="43" t="s">
        <v>26</v>
      </c>
      <c r="C11" s="44"/>
      <c r="D11" s="43" t="s">
        <v>27</v>
      </c>
      <c r="E11" s="43" t="s">
        <v>28</v>
      </c>
    </row>
    <row r="12" ht="30" customHeight="1" spans="1:5">
      <c r="A12" s="42" t="s">
        <v>29</v>
      </c>
      <c r="B12" s="43" t="s">
        <v>30</v>
      </c>
      <c r="C12" s="44"/>
      <c r="D12" s="43" t="s">
        <v>31</v>
      </c>
      <c r="E12" s="43" t="s">
        <v>32</v>
      </c>
    </row>
    <row r="13" ht="30" customHeight="1" spans="1:5">
      <c r="A13" s="42" t="s">
        <v>33</v>
      </c>
      <c r="B13" s="45" t="s">
        <v>34</v>
      </c>
      <c r="C13" s="44"/>
      <c r="D13" s="45"/>
      <c r="E13" s="43" t="s">
        <v>35</v>
      </c>
    </row>
    <row r="14" ht="19.5" customHeight="1" spans="1:5">
      <c r="A14" s="3" t="s">
        <v>36</v>
      </c>
      <c r="B14" s="3"/>
      <c r="C14" s="3"/>
      <c r="D14" s="3"/>
      <c r="E14" s="3"/>
    </row>
    <row r="15" ht="30" customHeight="1" spans="1:5">
      <c r="A15" s="42" t="s">
        <v>37</v>
      </c>
      <c r="B15" s="43" t="s">
        <v>38</v>
      </c>
      <c r="C15" s="44"/>
      <c r="D15" s="43" t="s">
        <v>39</v>
      </c>
      <c r="E15" s="43" t="s">
        <v>40</v>
      </c>
    </row>
    <row r="16" ht="30" customHeight="1" spans="1:5">
      <c r="A16" s="42" t="s">
        <v>41</v>
      </c>
      <c r="B16" s="43" t="s">
        <v>42</v>
      </c>
      <c r="C16" s="44"/>
      <c r="D16" s="43" t="s">
        <v>43</v>
      </c>
      <c r="E16" s="43" t="s">
        <v>44</v>
      </c>
    </row>
    <row r="17" ht="30" customHeight="1" spans="1:5">
      <c r="A17" s="42" t="s">
        <v>45</v>
      </c>
      <c r="B17" s="43" t="s">
        <v>46</v>
      </c>
      <c r="C17" s="44"/>
      <c r="D17" s="43" t="s">
        <v>47</v>
      </c>
      <c r="E17" s="43" t="s">
        <v>48</v>
      </c>
    </row>
    <row r="18" ht="30" customHeight="1" spans="1:5">
      <c r="A18" s="42" t="s">
        <v>49</v>
      </c>
      <c r="B18" s="43" t="s">
        <v>50</v>
      </c>
      <c r="C18" s="44"/>
      <c r="D18" s="43" t="s">
        <v>51</v>
      </c>
      <c r="E18" s="43" t="s">
        <v>52</v>
      </c>
    </row>
    <row r="19" ht="30" customHeight="1" spans="1:5">
      <c r="A19" s="42" t="s">
        <v>53</v>
      </c>
      <c r="B19" s="43" t="s">
        <v>54</v>
      </c>
      <c r="C19" s="44"/>
      <c r="D19" s="43" t="s">
        <v>55</v>
      </c>
      <c r="E19" s="43" t="s">
        <v>56</v>
      </c>
    </row>
    <row r="20" ht="30" customHeight="1" spans="1:5">
      <c r="A20" s="42" t="s">
        <v>57</v>
      </c>
      <c r="B20" s="43" t="s">
        <v>58</v>
      </c>
      <c r="C20" s="44"/>
      <c r="D20" s="43" t="s">
        <v>51</v>
      </c>
      <c r="E20" s="43" t="s">
        <v>59</v>
      </c>
    </row>
    <row r="21" ht="30" customHeight="1" spans="1:5">
      <c r="A21" s="42" t="s">
        <v>60</v>
      </c>
      <c r="B21" s="43" t="s">
        <v>61</v>
      </c>
      <c r="C21" s="44"/>
      <c r="D21" s="45" t="s">
        <v>62</v>
      </c>
      <c r="E21" s="43" t="s">
        <v>63</v>
      </c>
    </row>
    <row r="22" ht="30" customHeight="1" spans="1:5">
      <c r="A22" s="42" t="s">
        <v>64</v>
      </c>
      <c r="B22" s="43" t="s">
        <v>65</v>
      </c>
      <c r="C22" s="44"/>
      <c r="D22" s="45" t="s">
        <v>66</v>
      </c>
      <c r="E22" s="43" t="s">
        <v>67</v>
      </c>
    </row>
    <row r="23" ht="19.5" customHeight="1" spans="1:5">
      <c r="A23" s="3" t="s">
        <v>68</v>
      </c>
      <c r="B23" s="3"/>
      <c r="C23" s="3"/>
      <c r="D23" s="3"/>
      <c r="E23" s="3"/>
    </row>
    <row r="24" ht="30" customHeight="1" spans="1:5">
      <c r="A24" s="42" t="s">
        <v>69</v>
      </c>
      <c r="B24" s="43" t="s">
        <v>70</v>
      </c>
      <c r="C24" s="44"/>
      <c r="D24" s="45"/>
      <c r="E24" s="43" t="s">
        <v>71</v>
      </c>
    </row>
    <row r="25" ht="30" customHeight="1" spans="1:5">
      <c r="A25" s="42" t="s">
        <v>72</v>
      </c>
      <c r="B25" s="43" t="s">
        <v>73</v>
      </c>
      <c r="C25" s="44"/>
      <c r="D25" s="43" t="s">
        <v>74</v>
      </c>
      <c r="E25" s="43" t="s">
        <v>75</v>
      </c>
    </row>
    <row r="26" ht="30" customHeight="1" spans="1:5">
      <c r="A26" s="42" t="s">
        <v>76</v>
      </c>
      <c r="B26" s="43" t="s">
        <v>77</v>
      </c>
      <c r="C26" s="44"/>
      <c r="D26" s="43" t="s">
        <v>78</v>
      </c>
      <c r="E26" s="43" t="s">
        <v>79</v>
      </c>
    </row>
    <row r="27" ht="30" customHeight="1" spans="1:5">
      <c r="A27" s="42" t="s">
        <v>80</v>
      </c>
      <c r="B27" s="43" t="s">
        <v>81</v>
      </c>
      <c r="C27" s="44"/>
      <c r="D27" s="43" t="s">
        <v>82</v>
      </c>
      <c r="E27" s="43" t="s">
        <v>83</v>
      </c>
    </row>
    <row r="28" ht="30" customHeight="1" spans="1:5">
      <c r="A28" s="42" t="s">
        <v>84</v>
      </c>
      <c r="B28" s="43" t="s">
        <v>85</v>
      </c>
      <c r="C28" s="44"/>
      <c r="D28" s="43" t="s">
        <v>86</v>
      </c>
      <c r="E28" s="43" t="s">
        <v>87</v>
      </c>
    </row>
    <row r="29" ht="30" customHeight="1" spans="1:5">
      <c r="A29" s="42" t="s">
        <v>88</v>
      </c>
      <c r="B29" s="43" t="s">
        <v>89</v>
      </c>
      <c r="C29" s="44"/>
      <c r="D29" s="43" t="s">
        <v>90</v>
      </c>
      <c r="E29" s="43" t="s">
        <v>91</v>
      </c>
    </row>
    <row r="30" ht="19.5" customHeight="1" spans="1:5">
      <c r="A30" s="3" t="s">
        <v>92</v>
      </c>
      <c r="B30" s="3"/>
      <c r="C30" s="3"/>
      <c r="D30" s="3"/>
      <c r="E30" s="3"/>
    </row>
    <row r="31" ht="30" customHeight="1" spans="1:5">
      <c r="A31" s="42" t="s">
        <v>93</v>
      </c>
      <c r="B31" s="43" t="s">
        <v>94</v>
      </c>
      <c r="C31" s="44"/>
      <c r="D31" s="43" t="s">
        <v>95</v>
      </c>
      <c r="E31" s="43" t="s">
        <v>96</v>
      </c>
    </row>
    <row r="32" ht="30" customHeight="1" spans="1:5">
      <c r="A32" s="42" t="s">
        <v>97</v>
      </c>
      <c r="B32" s="43" t="s">
        <v>98</v>
      </c>
      <c r="C32" s="44"/>
      <c r="D32" s="43" t="s">
        <v>99</v>
      </c>
      <c r="E32" s="43" t="s">
        <v>100</v>
      </c>
    </row>
    <row r="33" ht="30" customHeight="1" spans="1:5">
      <c r="A33" s="42" t="s">
        <v>101</v>
      </c>
      <c r="B33" s="43" t="s">
        <v>102</v>
      </c>
      <c r="C33" s="44"/>
      <c r="D33" s="43" t="s">
        <v>103</v>
      </c>
      <c r="E33" s="43" t="s">
        <v>104</v>
      </c>
    </row>
    <row r="34" ht="30" customHeight="1" spans="1:5">
      <c r="A34" s="42" t="s">
        <v>105</v>
      </c>
      <c r="B34" s="43" t="s">
        <v>106</v>
      </c>
      <c r="C34" s="44"/>
      <c r="D34" s="43" t="s">
        <v>107</v>
      </c>
      <c r="E34" s="43" t="s">
        <v>108</v>
      </c>
    </row>
    <row r="35" ht="30" customHeight="1" spans="1:5">
      <c r="A35" s="42" t="s">
        <v>109</v>
      </c>
      <c r="B35" s="43" t="s">
        <v>110</v>
      </c>
      <c r="C35" s="44"/>
      <c r="D35" s="43" t="s">
        <v>111</v>
      </c>
      <c r="E35" s="43" t="s">
        <v>112</v>
      </c>
    </row>
    <row r="36" ht="19.5" customHeight="1" spans="1:5">
      <c r="A36" s="3" t="s">
        <v>113</v>
      </c>
      <c r="B36" s="3"/>
      <c r="C36" s="3"/>
      <c r="D36" s="3"/>
      <c r="E36" s="3"/>
    </row>
    <row r="37" ht="30" customHeight="1" spans="1:5">
      <c r="A37" s="42" t="s">
        <v>114</v>
      </c>
      <c r="B37" s="43" t="s">
        <v>115</v>
      </c>
      <c r="C37" s="44"/>
      <c r="D37" s="43" t="s">
        <v>116</v>
      </c>
      <c r="E37" s="43" t="s">
        <v>117</v>
      </c>
    </row>
    <row r="38" ht="30" customHeight="1" spans="1:5">
      <c r="A38" s="42" t="s">
        <v>118</v>
      </c>
      <c r="B38" s="43" t="s">
        <v>119</v>
      </c>
      <c r="C38" s="44"/>
      <c r="D38" s="43" t="s">
        <v>120</v>
      </c>
      <c r="E38" s="43" t="s">
        <v>117</v>
      </c>
    </row>
    <row r="39" ht="30" customHeight="1" spans="1:5">
      <c r="A39" s="42" t="s">
        <v>121</v>
      </c>
      <c r="B39" s="43" t="s">
        <v>122</v>
      </c>
      <c r="C39" s="44"/>
      <c r="D39" s="43" t="s">
        <v>123</v>
      </c>
      <c r="E39" s="43" t="s">
        <v>124</v>
      </c>
    </row>
    <row r="40" ht="30" customHeight="1" spans="1:5">
      <c r="A40" s="42" t="s">
        <v>125</v>
      </c>
      <c r="B40" s="43" t="s">
        <v>126</v>
      </c>
      <c r="C40" s="44"/>
      <c r="D40" s="45"/>
      <c r="E40" s="43" t="s">
        <v>127</v>
      </c>
    </row>
    <row r="41" ht="30" customHeight="1" spans="1:5">
      <c r="A41" s="42" t="s">
        <v>128</v>
      </c>
      <c r="B41" s="43" t="s">
        <v>129</v>
      </c>
      <c r="C41" s="44"/>
      <c r="D41" s="43" t="s">
        <v>130</v>
      </c>
      <c r="E41" s="43" t="s">
        <v>131</v>
      </c>
    </row>
    <row r="42" ht="19.5" customHeight="1" spans="1:5">
      <c r="A42" s="3" t="s">
        <v>132</v>
      </c>
      <c r="B42" s="3"/>
      <c r="C42" s="3"/>
      <c r="D42" s="3"/>
      <c r="E42" s="3"/>
    </row>
    <row r="43" ht="30" customHeight="1" spans="1:5">
      <c r="A43" s="42" t="s">
        <v>133</v>
      </c>
      <c r="B43" s="43" t="s">
        <v>134</v>
      </c>
      <c r="C43" s="44"/>
      <c r="D43" s="43" t="s">
        <v>135</v>
      </c>
      <c r="E43" s="43" t="s">
        <v>136</v>
      </c>
    </row>
    <row r="44" ht="30" customHeight="1" spans="1:5">
      <c r="A44" s="42" t="s">
        <v>137</v>
      </c>
      <c r="B44" s="43" t="s">
        <v>138</v>
      </c>
      <c r="C44" s="44"/>
      <c r="D44" s="45"/>
      <c r="E44" s="43" t="s">
        <v>139</v>
      </c>
    </row>
    <row r="45" ht="30" customHeight="1" spans="1:5">
      <c r="A45" s="42" t="s">
        <v>140</v>
      </c>
      <c r="B45" s="43" t="s">
        <v>141</v>
      </c>
      <c r="C45" s="44"/>
      <c r="D45" s="43" t="s">
        <v>142</v>
      </c>
      <c r="E45" s="43" t="s">
        <v>143</v>
      </c>
    </row>
    <row r="46" ht="30" customHeight="1" spans="1:5">
      <c r="A46" s="42" t="s">
        <v>144</v>
      </c>
      <c r="B46" s="43" t="s">
        <v>145</v>
      </c>
      <c r="C46" s="44"/>
      <c r="D46" s="43" t="s">
        <v>146</v>
      </c>
      <c r="E46" s="43" t="s">
        <v>147</v>
      </c>
    </row>
    <row r="47" ht="30" customHeight="1" spans="1:5">
      <c r="A47" s="42" t="s">
        <v>148</v>
      </c>
      <c r="B47" s="43" t="s">
        <v>149</v>
      </c>
      <c r="C47" s="44"/>
      <c r="D47" s="43" t="s">
        <v>150</v>
      </c>
      <c r="E47" s="43" t="s">
        <v>151</v>
      </c>
    </row>
    <row r="48" ht="19.5" customHeight="1" spans="1:5">
      <c r="A48" s="3" t="s">
        <v>152</v>
      </c>
      <c r="B48" s="3"/>
      <c r="C48" s="3"/>
      <c r="D48" s="3"/>
      <c r="E48" s="3"/>
    </row>
    <row r="49" ht="30" customHeight="1" spans="1:5">
      <c r="A49" s="42" t="s">
        <v>153</v>
      </c>
      <c r="B49" s="43" t="s">
        <v>154</v>
      </c>
      <c r="C49" s="44"/>
      <c r="D49" s="43" t="s">
        <v>155</v>
      </c>
      <c r="E49" s="43" t="s">
        <v>156</v>
      </c>
    </row>
    <row r="50" ht="30" customHeight="1" spans="1:5">
      <c r="A50" s="42" t="s">
        <v>157</v>
      </c>
      <c r="B50" s="43" t="s">
        <v>158</v>
      </c>
      <c r="C50" s="44"/>
      <c r="D50" s="43" t="s">
        <v>159</v>
      </c>
      <c r="E50" s="43" t="s">
        <v>160</v>
      </c>
    </row>
    <row r="51" ht="30" customHeight="1" spans="1:5">
      <c r="A51" s="42" t="s">
        <v>161</v>
      </c>
      <c r="B51" s="43" t="s">
        <v>162</v>
      </c>
      <c r="C51" s="44"/>
      <c r="D51" s="43" t="s">
        <v>163</v>
      </c>
      <c r="E51" s="43" t="s">
        <v>164</v>
      </c>
    </row>
  </sheetData>
  <mergeCells count="9">
    <mergeCell ref="A1:E1"/>
    <mergeCell ref="A2:E2"/>
    <mergeCell ref="A5:E5"/>
    <mergeCell ref="A14:E14"/>
    <mergeCell ref="A23:E23"/>
    <mergeCell ref="A30:E30"/>
    <mergeCell ref="A36:E36"/>
    <mergeCell ref="A42:E42"/>
    <mergeCell ref="A48:E48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6"/>
  <sheetViews>
    <sheetView tabSelected="1" workbookViewId="0">
      <pane xSplit="3" ySplit="4" topLeftCell="D5" activePane="bottomRight" state="frozen"/>
      <selection/>
      <selection pane="topRight"/>
      <selection pane="bottomLeft"/>
      <selection pane="bottomRight" activeCell="A1" sqref="A1:Q1"/>
    </sheetView>
  </sheetViews>
  <sheetFormatPr defaultColWidth="8.67857142857143" defaultRowHeight="16.8"/>
  <cols>
    <col min="1" max="1" width="6" customWidth="1"/>
    <col min="2" max="2" width="13" customWidth="1"/>
    <col min="3" max="3" width="18" customWidth="1"/>
    <col min="4" max="4" width="8" customWidth="1"/>
    <col min="5" max="5" width="26" customWidth="1"/>
    <col min="6" max="6" width="28" customWidth="1"/>
    <col min="7" max="7" width="26" customWidth="1"/>
    <col min="8" max="8" width="30" customWidth="1"/>
    <col min="9" max="9" width="26" customWidth="1"/>
    <col min="10" max="10" width="9" customWidth="1"/>
    <col min="11" max="11" width="10" customWidth="1"/>
    <col min="12" max="12" width="8" customWidth="1"/>
    <col min="13" max="13" width="26" customWidth="1"/>
    <col min="14" max="14" width="13" customWidth="1"/>
    <col min="15" max="15" width="14" customWidth="1"/>
    <col min="16" max="16" width="34" customWidth="1"/>
    <col min="17" max="17" width="5" hidden="1" customWidth="1"/>
  </cols>
  <sheetData>
    <row r="1" ht="27.75" customHeight="1" spans="1:17">
      <c r="A1" s="1" t="s">
        <v>165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5.5" customHeight="1" spans="1:17">
      <c r="A2" s="2" t="s">
        <v>166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ht="43.5" customHeight="1" spans="1:17">
      <c r="A4" s="19" t="s">
        <v>167</v>
      </c>
      <c r="B4" s="19" t="s">
        <v>168</v>
      </c>
      <c r="C4" s="19" t="s">
        <v>169</v>
      </c>
      <c r="D4" s="19" t="s">
        <v>170</v>
      </c>
      <c r="E4" s="19" t="s">
        <v>171</v>
      </c>
      <c r="F4" s="19" t="s">
        <v>172</v>
      </c>
      <c r="G4" s="19" t="s">
        <v>173</v>
      </c>
      <c r="H4" s="19" t="s">
        <v>174</v>
      </c>
      <c r="I4" s="19" t="s">
        <v>175</v>
      </c>
      <c r="J4" s="19" t="s">
        <v>176</v>
      </c>
      <c r="K4" s="19" t="s">
        <v>177</v>
      </c>
      <c r="L4" s="19" t="s">
        <v>178</v>
      </c>
      <c r="M4" s="19" t="s">
        <v>179</v>
      </c>
      <c r="N4" s="19" t="s">
        <v>180</v>
      </c>
      <c r="O4" s="19" t="s">
        <v>181</v>
      </c>
      <c r="P4" s="19" t="s">
        <v>182</v>
      </c>
      <c r="Q4" s="19" t="s">
        <v>183</v>
      </c>
    </row>
    <row r="5" ht="19.5" customHeight="1" spans="1:17">
      <c r="A5" s="3" t="s">
        <v>184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ht="42" customHeight="1" spans="1:17">
      <c r="A6" s="25">
        <v>1</v>
      </c>
      <c r="B6" s="26" t="s">
        <v>185</v>
      </c>
      <c r="C6" s="26" t="s">
        <v>186</v>
      </c>
      <c r="D6" s="38" t="s">
        <v>187</v>
      </c>
      <c r="E6" s="26" t="s">
        <v>188</v>
      </c>
      <c r="F6" s="26" t="s">
        <v>189</v>
      </c>
      <c r="G6" s="26" t="s">
        <v>190</v>
      </c>
      <c r="H6" s="26" t="s">
        <v>191</v>
      </c>
      <c r="I6" s="27"/>
      <c r="J6" s="25" t="s">
        <v>192</v>
      </c>
      <c r="K6" s="28"/>
      <c r="L6" s="36" t="s">
        <v>193</v>
      </c>
      <c r="M6" s="26" t="s">
        <v>194</v>
      </c>
      <c r="N6" s="25" t="s">
        <v>195</v>
      </c>
      <c r="O6" s="34" t="s">
        <v>196</v>
      </c>
      <c r="P6" s="26"/>
      <c r="Q6" s="39">
        <f t="shared" ref="Q6:Q18" si="0">LEN(J6)-LEN(SUBSTITUTE(J6,"★",""))</f>
        <v>2</v>
      </c>
    </row>
    <row r="7" ht="42" customHeight="1" spans="1:17">
      <c r="A7" s="25">
        <v>2</v>
      </c>
      <c r="B7" s="26" t="s">
        <v>185</v>
      </c>
      <c r="C7" s="26" t="s">
        <v>197</v>
      </c>
      <c r="D7" s="38" t="s">
        <v>198</v>
      </c>
      <c r="E7" s="26" t="s">
        <v>199</v>
      </c>
      <c r="F7" s="26" t="s">
        <v>200</v>
      </c>
      <c r="G7" s="26" t="s">
        <v>201</v>
      </c>
      <c r="H7" s="26" t="s">
        <v>202</v>
      </c>
      <c r="I7" s="27"/>
      <c r="J7" s="25" t="s">
        <v>203</v>
      </c>
      <c r="K7" s="28"/>
      <c r="L7" s="36" t="s">
        <v>193</v>
      </c>
      <c r="M7" s="26" t="s">
        <v>204</v>
      </c>
      <c r="N7" s="25" t="s">
        <v>205</v>
      </c>
      <c r="O7" s="37" t="s">
        <v>206</v>
      </c>
      <c r="P7" s="26" t="s">
        <v>207</v>
      </c>
      <c r="Q7" s="39">
        <f t="shared" si="0"/>
        <v>4</v>
      </c>
    </row>
    <row r="8" ht="42" customHeight="1" spans="1:17">
      <c r="A8" s="25">
        <v>3</v>
      </c>
      <c r="B8" s="26" t="s">
        <v>185</v>
      </c>
      <c r="C8" s="26" t="s">
        <v>208</v>
      </c>
      <c r="D8" s="38" t="s">
        <v>209</v>
      </c>
      <c r="E8" s="26" t="s">
        <v>210</v>
      </c>
      <c r="F8" s="35" t="s">
        <v>211</v>
      </c>
      <c r="G8" s="35" t="s">
        <v>212</v>
      </c>
      <c r="H8" s="26" t="s">
        <v>213</v>
      </c>
      <c r="I8" s="27"/>
      <c r="J8" s="25" t="s">
        <v>214</v>
      </c>
      <c r="K8" s="28"/>
      <c r="L8" s="36" t="s">
        <v>193</v>
      </c>
      <c r="M8" s="26" t="s">
        <v>215</v>
      </c>
      <c r="N8" s="25" t="s">
        <v>195</v>
      </c>
      <c r="O8" s="34" t="s">
        <v>196</v>
      </c>
      <c r="P8" s="35"/>
      <c r="Q8" s="39">
        <f t="shared" si="0"/>
        <v>3</v>
      </c>
    </row>
    <row r="9" ht="42" customHeight="1" spans="1:17">
      <c r="A9" s="25">
        <v>4</v>
      </c>
      <c r="B9" s="26" t="s">
        <v>185</v>
      </c>
      <c r="C9" s="26" t="s">
        <v>216</v>
      </c>
      <c r="D9" s="38" t="s">
        <v>198</v>
      </c>
      <c r="E9" s="26" t="s">
        <v>217</v>
      </c>
      <c r="F9" s="26" t="s">
        <v>218</v>
      </c>
      <c r="G9" s="26" t="s">
        <v>219</v>
      </c>
      <c r="H9" s="26" t="s">
        <v>220</v>
      </c>
      <c r="I9" s="27"/>
      <c r="J9" s="25" t="s">
        <v>203</v>
      </c>
      <c r="K9" s="28"/>
      <c r="L9" s="36" t="s">
        <v>193</v>
      </c>
      <c r="M9" s="26" t="s">
        <v>221</v>
      </c>
      <c r="N9" s="25" t="s">
        <v>205</v>
      </c>
      <c r="O9" s="37" t="s">
        <v>206</v>
      </c>
      <c r="P9" s="35"/>
      <c r="Q9" s="39">
        <f t="shared" si="0"/>
        <v>4</v>
      </c>
    </row>
    <row r="10" ht="42" customHeight="1" spans="1:17">
      <c r="A10" s="25">
        <v>5</v>
      </c>
      <c r="B10" s="26" t="s">
        <v>185</v>
      </c>
      <c r="C10" s="26" t="s">
        <v>222</v>
      </c>
      <c r="D10" s="38" t="s">
        <v>209</v>
      </c>
      <c r="E10" s="26" t="s">
        <v>223</v>
      </c>
      <c r="F10" s="26" t="s">
        <v>224</v>
      </c>
      <c r="G10" s="26" t="s">
        <v>225</v>
      </c>
      <c r="H10" s="26" t="s">
        <v>226</v>
      </c>
      <c r="I10" s="27"/>
      <c r="J10" s="25" t="s">
        <v>203</v>
      </c>
      <c r="K10" s="28"/>
      <c r="L10" s="36" t="s">
        <v>193</v>
      </c>
      <c r="M10" s="26" t="s">
        <v>227</v>
      </c>
      <c r="N10" s="25" t="s">
        <v>195</v>
      </c>
      <c r="O10" s="34" t="s">
        <v>196</v>
      </c>
      <c r="P10" s="35"/>
      <c r="Q10" s="39">
        <f t="shared" si="0"/>
        <v>4</v>
      </c>
    </row>
    <row r="11" ht="42" customHeight="1" spans="1:17">
      <c r="A11" s="25">
        <v>6</v>
      </c>
      <c r="B11" s="26" t="s">
        <v>185</v>
      </c>
      <c r="C11" s="26" t="s">
        <v>228</v>
      </c>
      <c r="D11" s="38" t="s">
        <v>198</v>
      </c>
      <c r="E11" s="26" t="s">
        <v>229</v>
      </c>
      <c r="F11" s="26" t="s">
        <v>230</v>
      </c>
      <c r="G11" s="26" t="s">
        <v>231</v>
      </c>
      <c r="H11" s="26" t="s">
        <v>232</v>
      </c>
      <c r="I11" s="27"/>
      <c r="J11" s="25" t="s">
        <v>233</v>
      </c>
      <c r="K11" s="28"/>
      <c r="L11" s="36" t="s">
        <v>193</v>
      </c>
      <c r="M11" s="26" t="s">
        <v>234</v>
      </c>
      <c r="N11" s="25" t="s">
        <v>195</v>
      </c>
      <c r="O11" s="34" t="s">
        <v>196</v>
      </c>
      <c r="P11" s="35"/>
      <c r="Q11" s="39">
        <f t="shared" si="0"/>
        <v>5</v>
      </c>
    </row>
    <row r="12" ht="42" customHeight="1" spans="1:17">
      <c r="A12" s="25">
        <v>7</v>
      </c>
      <c r="B12" s="26" t="s">
        <v>185</v>
      </c>
      <c r="C12" s="26" t="s">
        <v>235</v>
      </c>
      <c r="D12" s="38" t="s">
        <v>236</v>
      </c>
      <c r="E12" s="26" t="s">
        <v>237</v>
      </c>
      <c r="F12" s="26" t="s">
        <v>238</v>
      </c>
      <c r="G12" s="26" t="s">
        <v>239</v>
      </c>
      <c r="H12" s="26" t="s">
        <v>240</v>
      </c>
      <c r="I12" s="27"/>
      <c r="J12" s="25" t="s">
        <v>214</v>
      </c>
      <c r="K12" s="28"/>
      <c r="L12" s="32" t="s">
        <v>241</v>
      </c>
      <c r="M12" s="26" t="s">
        <v>242</v>
      </c>
      <c r="N12" s="25" t="s">
        <v>195</v>
      </c>
      <c r="O12" s="34" t="s">
        <v>196</v>
      </c>
      <c r="P12" s="26" t="s">
        <v>243</v>
      </c>
      <c r="Q12" s="39">
        <f t="shared" si="0"/>
        <v>3</v>
      </c>
    </row>
    <row r="13" ht="42" customHeight="1" spans="1:17">
      <c r="A13" s="25">
        <v>8</v>
      </c>
      <c r="B13" s="26" t="s">
        <v>185</v>
      </c>
      <c r="C13" s="26" t="s">
        <v>244</v>
      </c>
      <c r="D13" s="38" t="s">
        <v>187</v>
      </c>
      <c r="E13" s="26" t="s">
        <v>245</v>
      </c>
      <c r="F13" s="26" t="s">
        <v>246</v>
      </c>
      <c r="G13" s="26" t="s">
        <v>247</v>
      </c>
      <c r="H13" s="26" t="s">
        <v>248</v>
      </c>
      <c r="I13" s="27"/>
      <c r="J13" s="25" t="s">
        <v>214</v>
      </c>
      <c r="K13" s="28"/>
      <c r="L13" s="36" t="s">
        <v>193</v>
      </c>
      <c r="M13" s="26" t="s">
        <v>249</v>
      </c>
      <c r="N13" s="25" t="s">
        <v>195</v>
      </c>
      <c r="O13" s="34" t="s">
        <v>196</v>
      </c>
      <c r="P13" s="35"/>
      <c r="Q13" s="39">
        <f t="shared" si="0"/>
        <v>3</v>
      </c>
    </row>
    <row r="14" ht="42" customHeight="1" spans="1:17">
      <c r="A14" s="25">
        <v>9</v>
      </c>
      <c r="B14" s="26" t="s">
        <v>185</v>
      </c>
      <c r="C14" s="26" t="s">
        <v>250</v>
      </c>
      <c r="D14" s="38" t="s">
        <v>251</v>
      </c>
      <c r="E14" s="26" t="s">
        <v>252</v>
      </c>
      <c r="F14" s="26" t="s">
        <v>253</v>
      </c>
      <c r="G14" s="26" t="s">
        <v>254</v>
      </c>
      <c r="H14" s="26" t="s">
        <v>255</v>
      </c>
      <c r="I14" s="27"/>
      <c r="J14" s="25" t="s">
        <v>203</v>
      </c>
      <c r="K14" s="28"/>
      <c r="L14" s="29" t="s">
        <v>256</v>
      </c>
      <c r="M14" s="26" t="s">
        <v>257</v>
      </c>
      <c r="N14" s="25" t="s">
        <v>258</v>
      </c>
      <c r="O14" s="33" t="s">
        <v>259</v>
      </c>
      <c r="P14" s="26" t="s">
        <v>260</v>
      </c>
      <c r="Q14" s="39">
        <f t="shared" si="0"/>
        <v>4</v>
      </c>
    </row>
    <row r="15" ht="42" customHeight="1" spans="1:17">
      <c r="A15" s="25">
        <v>10</v>
      </c>
      <c r="B15" s="26" t="s">
        <v>185</v>
      </c>
      <c r="C15" s="26" t="s">
        <v>261</v>
      </c>
      <c r="D15" s="38" t="s">
        <v>262</v>
      </c>
      <c r="E15" s="26" t="s">
        <v>263</v>
      </c>
      <c r="F15" s="26" t="s">
        <v>264</v>
      </c>
      <c r="G15" s="26" t="s">
        <v>265</v>
      </c>
      <c r="H15" s="26" t="s">
        <v>266</v>
      </c>
      <c r="I15" s="27"/>
      <c r="J15" s="25" t="s">
        <v>203</v>
      </c>
      <c r="K15" s="28"/>
      <c r="L15" s="32" t="s">
        <v>241</v>
      </c>
      <c r="M15" s="26" t="s">
        <v>267</v>
      </c>
      <c r="N15" s="25" t="s">
        <v>205</v>
      </c>
      <c r="O15" s="37" t="s">
        <v>206</v>
      </c>
      <c r="P15" s="35"/>
      <c r="Q15" s="39">
        <f t="shared" si="0"/>
        <v>4</v>
      </c>
    </row>
    <row r="16" ht="42" customHeight="1" spans="1:17">
      <c r="A16" s="25">
        <v>11</v>
      </c>
      <c r="B16" s="26" t="s">
        <v>185</v>
      </c>
      <c r="C16" s="26" t="s">
        <v>268</v>
      </c>
      <c r="D16" s="38" t="s">
        <v>187</v>
      </c>
      <c r="E16" s="26" t="s">
        <v>269</v>
      </c>
      <c r="F16" s="26" t="s">
        <v>270</v>
      </c>
      <c r="G16" s="26" t="s">
        <v>271</v>
      </c>
      <c r="H16" s="26" t="s">
        <v>272</v>
      </c>
      <c r="I16" s="27"/>
      <c r="J16" s="25" t="s">
        <v>214</v>
      </c>
      <c r="K16" s="28"/>
      <c r="L16" s="36" t="s">
        <v>193</v>
      </c>
      <c r="M16" s="26" t="s">
        <v>273</v>
      </c>
      <c r="N16" s="25" t="s">
        <v>205</v>
      </c>
      <c r="O16" s="37" t="s">
        <v>206</v>
      </c>
      <c r="P16" s="35"/>
      <c r="Q16" s="39">
        <f t="shared" si="0"/>
        <v>3</v>
      </c>
    </row>
    <row r="17" ht="42" customHeight="1" spans="1:17">
      <c r="A17" s="25">
        <v>12</v>
      </c>
      <c r="B17" s="26" t="s">
        <v>185</v>
      </c>
      <c r="C17" s="26" t="s">
        <v>274</v>
      </c>
      <c r="D17" s="38" t="s">
        <v>209</v>
      </c>
      <c r="E17" s="26" t="s">
        <v>275</v>
      </c>
      <c r="F17" s="26" t="s">
        <v>276</v>
      </c>
      <c r="G17" s="26" t="s">
        <v>277</v>
      </c>
      <c r="H17" s="26" t="s">
        <v>278</v>
      </c>
      <c r="I17" s="27"/>
      <c r="J17" s="25" t="s">
        <v>214</v>
      </c>
      <c r="K17" s="28"/>
      <c r="L17" s="32" t="s">
        <v>241</v>
      </c>
      <c r="M17" s="26" t="s">
        <v>279</v>
      </c>
      <c r="N17" s="25" t="s">
        <v>195</v>
      </c>
      <c r="O17" s="34" t="s">
        <v>196</v>
      </c>
      <c r="P17" s="35"/>
      <c r="Q17" s="39">
        <f t="shared" si="0"/>
        <v>3</v>
      </c>
    </row>
    <row r="18" ht="42" customHeight="1" spans="1:17">
      <c r="A18" s="25">
        <v>13</v>
      </c>
      <c r="B18" s="26" t="s">
        <v>185</v>
      </c>
      <c r="C18" s="26" t="s">
        <v>280</v>
      </c>
      <c r="D18" s="38" t="s">
        <v>209</v>
      </c>
      <c r="E18" s="26" t="s">
        <v>281</v>
      </c>
      <c r="F18" s="26" t="s">
        <v>282</v>
      </c>
      <c r="G18" s="26" t="s">
        <v>283</v>
      </c>
      <c r="H18" s="26" t="s">
        <v>284</v>
      </c>
      <c r="I18" s="27"/>
      <c r="J18" s="25" t="s">
        <v>214</v>
      </c>
      <c r="K18" s="28"/>
      <c r="L18" s="32" t="s">
        <v>241</v>
      </c>
      <c r="M18" s="26" t="s">
        <v>285</v>
      </c>
      <c r="N18" s="25" t="s">
        <v>286</v>
      </c>
      <c r="O18" s="31" t="s">
        <v>287</v>
      </c>
      <c r="P18" s="26" t="s">
        <v>288</v>
      </c>
      <c r="Q18" s="39">
        <f t="shared" si="0"/>
        <v>3</v>
      </c>
    </row>
    <row r="19" ht="19.5" customHeight="1" spans="1:17">
      <c r="A19" s="3" t="s">
        <v>289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ht="42" customHeight="1" spans="1:17">
      <c r="A20" s="25">
        <v>14</v>
      </c>
      <c r="B20" s="26" t="s">
        <v>290</v>
      </c>
      <c r="C20" s="26" t="s">
        <v>291</v>
      </c>
      <c r="D20" s="38" t="s">
        <v>198</v>
      </c>
      <c r="E20" s="26" t="s">
        <v>292</v>
      </c>
      <c r="F20" s="26" t="s">
        <v>293</v>
      </c>
      <c r="G20" s="26" t="s">
        <v>294</v>
      </c>
      <c r="H20" s="26" t="s">
        <v>295</v>
      </c>
      <c r="I20" s="27"/>
      <c r="J20" s="25" t="s">
        <v>233</v>
      </c>
      <c r="K20" s="28"/>
      <c r="L20" s="32" t="s">
        <v>241</v>
      </c>
      <c r="M20" s="26" t="s">
        <v>296</v>
      </c>
      <c r="N20" s="25" t="s">
        <v>286</v>
      </c>
      <c r="O20" s="31" t="s">
        <v>287</v>
      </c>
      <c r="P20" s="26" t="s">
        <v>297</v>
      </c>
      <c r="Q20" s="39">
        <f t="shared" ref="Q20:Q34" si="1">LEN(J20)-LEN(SUBSTITUTE(J20,"★",""))</f>
        <v>5</v>
      </c>
    </row>
    <row r="21" ht="42" customHeight="1" spans="1:17">
      <c r="A21" s="25">
        <v>15</v>
      </c>
      <c r="B21" s="26" t="s">
        <v>290</v>
      </c>
      <c r="C21" s="26" t="s">
        <v>298</v>
      </c>
      <c r="D21" s="38" t="s">
        <v>299</v>
      </c>
      <c r="E21" s="26" t="s">
        <v>300</v>
      </c>
      <c r="F21" s="26" t="s">
        <v>301</v>
      </c>
      <c r="G21" s="26" t="s">
        <v>302</v>
      </c>
      <c r="H21" s="26" t="s">
        <v>303</v>
      </c>
      <c r="I21" s="27"/>
      <c r="J21" s="25" t="s">
        <v>203</v>
      </c>
      <c r="K21" s="28"/>
      <c r="L21" s="36" t="s">
        <v>193</v>
      </c>
      <c r="M21" s="26" t="s">
        <v>304</v>
      </c>
      <c r="N21" s="25" t="s">
        <v>205</v>
      </c>
      <c r="O21" s="37" t="s">
        <v>206</v>
      </c>
      <c r="P21" s="35"/>
      <c r="Q21" s="39">
        <f t="shared" si="1"/>
        <v>4</v>
      </c>
    </row>
    <row r="22" ht="42" customHeight="1" spans="1:17">
      <c r="A22" s="25">
        <v>16</v>
      </c>
      <c r="B22" s="26" t="s">
        <v>290</v>
      </c>
      <c r="C22" s="26" t="s">
        <v>305</v>
      </c>
      <c r="D22" s="38" t="s">
        <v>209</v>
      </c>
      <c r="E22" s="26" t="s">
        <v>306</v>
      </c>
      <c r="F22" s="26" t="s">
        <v>307</v>
      </c>
      <c r="G22" s="26" t="s">
        <v>308</v>
      </c>
      <c r="H22" s="26" t="s">
        <v>309</v>
      </c>
      <c r="I22" s="27"/>
      <c r="J22" s="25" t="s">
        <v>214</v>
      </c>
      <c r="K22" s="28"/>
      <c r="L22" s="36" t="s">
        <v>193</v>
      </c>
      <c r="M22" s="26" t="s">
        <v>310</v>
      </c>
      <c r="N22" s="25" t="s">
        <v>205</v>
      </c>
      <c r="O22" s="37" t="s">
        <v>206</v>
      </c>
      <c r="P22" s="35"/>
      <c r="Q22" s="39">
        <f t="shared" si="1"/>
        <v>3</v>
      </c>
    </row>
    <row r="23" ht="42" customHeight="1" spans="1:17">
      <c r="A23" s="25">
        <v>17</v>
      </c>
      <c r="B23" s="26" t="s">
        <v>290</v>
      </c>
      <c r="C23" s="26" t="s">
        <v>311</v>
      </c>
      <c r="D23" s="38" t="s">
        <v>299</v>
      </c>
      <c r="E23" s="26" t="s">
        <v>312</v>
      </c>
      <c r="F23" s="26" t="s">
        <v>313</v>
      </c>
      <c r="G23" s="26" t="s">
        <v>314</v>
      </c>
      <c r="H23" s="26" t="s">
        <v>315</v>
      </c>
      <c r="I23" s="27"/>
      <c r="J23" s="25" t="s">
        <v>203</v>
      </c>
      <c r="K23" s="28"/>
      <c r="L23" s="36" t="s">
        <v>193</v>
      </c>
      <c r="M23" s="26" t="s">
        <v>316</v>
      </c>
      <c r="N23" s="25" t="s">
        <v>286</v>
      </c>
      <c r="O23" s="30" t="s">
        <v>317</v>
      </c>
      <c r="P23" s="35"/>
      <c r="Q23" s="39">
        <f t="shared" si="1"/>
        <v>4</v>
      </c>
    </row>
    <row r="24" ht="42" customHeight="1" spans="1:17">
      <c r="A24" s="25">
        <v>18</v>
      </c>
      <c r="B24" s="26" t="s">
        <v>290</v>
      </c>
      <c r="C24" s="26" t="s">
        <v>318</v>
      </c>
      <c r="D24" s="38" t="s">
        <v>319</v>
      </c>
      <c r="E24" s="26" t="s">
        <v>320</v>
      </c>
      <c r="F24" s="26" t="s">
        <v>321</v>
      </c>
      <c r="G24" s="26" t="s">
        <v>322</v>
      </c>
      <c r="H24" s="26" t="s">
        <v>323</v>
      </c>
      <c r="I24" s="27"/>
      <c r="J24" s="25" t="s">
        <v>203</v>
      </c>
      <c r="K24" s="28"/>
      <c r="L24" s="36" t="s">
        <v>193</v>
      </c>
      <c r="M24" s="26" t="s">
        <v>324</v>
      </c>
      <c r="N24" s="25" t="s">
        <v>258</v>
      </c>
      <c r="O24" s="33" t="s">
        <v>259</v>
      </c>
      <c r="P24" s="26" t="s">
        <v>325</v>
      </c>
      <c r="Q24" s="39">
        <f t="shared" si="1"/>
        <v>4</v>
      </c>
    </row>
    <row r="25" ht="42" customHeight="1" spans="1:17">
      <c r="A25" s="25">
        <v>19</v>
      </c>
      <c r="B25" s="26" t="s">
        <v>290</v>
      </c>
      <c r="C25" s="26" t="s">
        <v>326</v>
      </c>
      <c r="D25" s="38" t="s">
        <v>187</v>
      </c>
      <c r="E25" s="26" t="s">
        <v>327</v>
      </c>
      <c r="F25" s="26" t="s">
        <v>328</v>
      </c>
      <c r="G25" s="26" t="s">
        <v>329</v>
      </c>
      <c r="H25" s="26" t="s">
        <v>330</v>
      </c>
      <c r="I25" s="27"/>
      <c r="J25" s="25" t="s">
        <v>214</v>
      </c>
      <c r="K25" s="28"/>
      <c r="L25" s="36" t="s">
        <v>193</v>
      </c>
      <c r="M25" s="26" t="s">
        <v>331</v>
      </c>
      <c r="N25" s="25" t="s">
        <v>205</v>
      </c>
      <c r="O25" s="37" t="s">
        <v>206</v>
      </c>
      <c r="P25" s="26" t="s">
        <v>332</v>
      </c>
      <c r="Q25" s="39">
        <f t="shared" si="1"/>
        <v>3</v>
      </c>
    </row>
    <row r="26" ht="42" customHeight="1" spans="1:17">
      <c r="A26" s="25">
        <v>20</v>
      </c>
      <c r="B26" s="26" t="s">
        <v>290</v>
      </c>
      <c r="C26" s="26" t="s">
        <v>333</v>
      </c>
      <c r="D26" s="38" t="s">
        <v>299</v>
      </c>
      <c r="E26" s="26" t="s">
        <v>334</v>
      </c>
      <c r="F26" s="26" t="s">
        <v>335</v>
      </c>
      <c r="G26" s="26" t="s">
        <v>336</v>
      </c>
      <c r="H26" s="26" t="s">
        <v>337</v>
      </c>
      <c r="I26" s="27"/>
      <c r="J26" s="25" t="s">
        <v>203</v>
      </c>
      <c r="K26" s="28"/>
      <c r="L26" s="32" t="s">
        <v>241</v>
      </c>
      <c r="M26" s="26" t="s">
        <v>338</v>
      </c>
      <c r="N26" s="25" t="s">
        <v>205</v>
      </c>
      <c r="O26" s="37" t="s">
        <v>206</v>
      </c>
      <c r="P26" s="35"/>
      <c r="Q26" s="39">
        <f t="shared" si="1"/>
        <v>4</v>
      </c>
    </row>
    <row r="27" ht="42" customHeight="1" spans="1:17">
      <c r="A27" s="25">
        <v>21</v>
      </c>
      <c r="B27" s="26" t="s">
        <v>290</v>
      </c>
      <c r="C27" s="26" t="s">
        <v>339</v>
      </c>
      <c r="D27" s="38" t="s">
        <v>299</v>
      </c>
      <c r="E27" s="26" t="s">
        <v>334</v>
      </c>
      <c r="F27" s="26" t="s">
        <v>340</v>
      </c>
      <c r="G27" s="26" t="s">
        <v>341</v>
      </c>
      <c r="H27" s="26" t="s">
        <v>342</v>
      </c>
      <c r="I27" s="27"/>
      <c r="J27" s="25" t="s">
        <v>214</v>
      </c>
      <c r="K27" s="28"/>
      <c r="L27" s="32" t="s">
        <v>241</v>
      </c>
      <c r="M27" s="26" t="s">
        <v>343</v>
      </c>
      <c r="N27" s="25" t="s">
        <v>205</v>
      </c>
      <c r="O27" s="37" t="s">
        <v>206</v>
      </c>
      <c r="P27" s="35"/>
      <c r="Q27" s="39">
        <f t="shared" si="1"/>
        <v>3</v>
      </c>
    </row>
    <row r="28" ht="42" customHeight="1" spans="1:17">
      <c r="A28" s="25">
        <v>22</v>
      </c>
      <c r="B28" s="26" t="s">
        <v>290</v>
      </c>
      <c r="C28" s="26" t="s">
        <v>344</v>
      </c>
      <c r="D28" s="38" t="s">
        <v>198</v>
      </c>
      <c r="E28" s="26" t="s">
        <v>345</v>
      </c>
      <c r="F28" s="26" t="s">
        <v>346</v>
      </c>
      <c r="G28" s="26" t="s">
        <v>347</v>
      </c>
      <c r="H28" s="26" t="s">
        <v>348</v>
      </c>
      <c r="I28" s="27"/>
      <c r="J28" s="25" t="s">
        <v>203</v>
      </c>
      <c r="K28" s="28"/>
      <c r="L28" s="32" t="s">
        <v>241</v>
      </c>
      <c r="M28" s="26" t="s">
        <v>349</v>
      </c>
      <c r="N28" s="25" t="s">
        <v>205</v>
      </c>
      <c r="O28" s="37" t="s">
        <v>206</v>
      </c>
      <c r="P28" s="35"/>
      <c r="Q28" s="39">
        <f t="shared" si="1"/>
        <v>4</v>
      </c>
    </row>
    <row r="29" ht="42" customHeight="1" spans="1:17">
      <c r="A29" s="25">
        <v>23</v>
      </c>
      <c r="B29" s="26" t="s">
        <v>290</v>
      </c>
      <c r="C29" s="26" t="s">
        <v>350</v>
      </c>
      <c r="D29" s="38" t="s">
        <v>198</v>
      </c>
      <c r="E29" s="26" t="s">
        <v>351</v>
      </c>
      <c r="F29" s="26" t="s">
        <v>352</v>
      </c>
      <c r="G29" s="26" t="s">
        <v>353</v>
      </c>
      <c r="H29" s="26" t="s">
        <v>354</v>
      </c>
      <c r="I29" s="27"/>
      <c r="J29" s="25" t="s">
        <v>233</v>
      </c>
      <c r="K29" s="28"/>
      <c r="L29" s="36" t="s">
        <v>193</v>
      </c>
      <c r="M29" s="26" t="s">
        <v>355</v>
      </c>
      <c r="N29" s="25" t="s">
        <v>286</v>
      </c>
      <c r="O29" s="31" t="s">
        <v>287</v>
      </c>
      <c r="P29" s="26" t="s">
        <v>356</v>
      </c>
      <c r="Q29" s="39">
        <f t="shared" si="1"/>
        <v>5</v>
      </c>
    </row>
    <row r="30" ht="42" customHeight="1" spans="1:17">
      <c r="A30" s="25">
        <v>24</v>
      </c>
      <c r="B30" s="26" t="s">
        <v>290</v>
      </c>
      <c r="C30" s="26" t="s">
        <v>357</v>
      </c>
      <c r="D30" s="38" t="s">
        <v>209</v>
      </c>
      <c r="E30" s="26" t="s">
        <v>358</v>
      </c>
      <c r="F30" s="26" t="s">
        <v>359</v>
      </c>
      <c r="G30" s="26" t="s">
        <v>360</v>
      </c>
      <c r="H30" s="26" t="s">
        <v>361</v>
      </c>
      <c r="I30" s="27"/>
      <c r="J30" s="25" t="s">
        <v>203</v>
      </c>
      <c r="K30" s="28"/>
      <c r="L30" s="36" t="s">
        <v>193</v>
      </c>
      <c r="M30" s="26" t="s">
        <v>362</v>
      </c>
      <c r="N30" s="25" t="s">
        <v>363</v>
      </c>
      <c r="O30" s="40" t="s">
        <v>364</v>
      </c>
      <c r="P30" s="26" t="s">
        <v>365</v>
      </c>
      <c r="Q30" s="39">
        <f t="shared" si="1"/>
        <v>4</v>
      </c>
    </row>
    <row r="31" ht="42" customHeight="1" spans="1:17">
      <c r="A31" s="25">
        <v>25</v>
      </c>
      <c r="B31" s="26" t="s">
        <v>290</v>
      </c>
      <c r="C31" s="26" t="s">
        <v>366</v>
      </c>
      <c r="D31" s="38" t="s">
        <v>367</v>
      </c>
      <c r="E31" s="26" t="s">
        <v>252</v>
      </c>
      <c r="F31" s="26" t="s">
        <v>368</v>
      </c>
      <c r="G31" s="26" t="s">
        <v>369</v>
      </c>
      <c r="H31" s="26" t="s">
        <v>370</v>
      </c>
      <c r="I31" s="27"/>
      <c r="J31" s="25" t="s">
        <v>192</v>
      </c>
      <c r="K31" s="28"/>
      <c r="L31" s="32" t="s">
        <v>241</v>
      </c>
      <c r="M31" s="26" t="s">
        <v>371</v>
      </c>
      <c r="N31" s="25" t="s">
        <v>205</v>
      </c>
      <c r="O31" s="37" t="s">
        <v>206</v>
      </c>
      <c r="P31" s="35"/>
      <c r="Q31" s="39">
        <f t="shared" si="1"/>
        <v>2</v>
      </c>
    </row>
    <row r="32" ht="42" customHeight="1" spans="1:17">
      <c r="A32" s="25">
        <v>26</v>
      </c>
      <c r="B32" s="26" t="s">
        <v>290</v>
      </c>
      <c r="C32" s="26" t="s">
        <v>372</v>
      </c>
      <c r="D32" s="38" t="s">
        <v>187</v>
      </c>
      <c r="E32" s="26" t="s">
        <v>373</v>
      </c>
      <c r="F32" s="26" t="s">
        <v>374</v>
      </c>
      <c r="G32" s="26" t="s">
        <v>375</v>
      </c>
      <c r="H32" s="26" t="s">
        <v>376</v>
      </c>
      <c r="I32" s="27"/>
      <c r="J32" s="25" t="s">
        <v>214</v>
      </c>
      <c r="K32" s="28"/>
      <c r="L32" s="32" t="s">
        <v>241</v>
      </c>
      <c r="M32" s="26" t="s">
        <v>377</v>
      </c>
      <c r="N32" s="25" t="s">
        <v>205</v>
      </c>
      <c r="O32" s="37" t="s">
        <v>206</v>
      </c>
      <c r="P32" s="35"/>
      <c r="Q32" s="39">
        <f t="shared" si="1"/>
        <v>3</v>
      </c>
    </row>
    <row r="33" ht="42" customHeight="1" spans="1:17">
      <c r="A33" s="25">
        <v>27</v>
      </c>
      <c r="B33" s="26" t="s">
        <v>290</v>
      </c>
      <c r="C33" s="26" t="s">
        <v>378</v>
      </c>
      <c r="D33" s="38" t="s">
        <v>187</v>
      </c>
      <c r="E33" s="26" t="s">
        <v>379</v>
      </c>
      <c r="F33" s="26" t="s">
        <v>380</v>
      </c>
      <c r="G33" s="35" t="s">
        <v>381</v>
      </c>
      <c r="H33" s="26" t="s">
        <v>382</v>
      </c>
      <c r="I33" s="27"/>
      <c r="J33" s="25" t="s">
        <v>214</v>
      </c>
      <c r="K33" s="28"/>
      <c r="L33" s="36" t="s">
        <v>193</v>
      </c>
      <c r="M33" s="26" t="s">
        <v>383</v>
      </c>
      <c r="N33" s="25" t="s">
        <v>205</v>
      </c>
      <c r="O33" s="37" t="s">
        <v>206</v>
      </c>
      <c r="P33" s="35"/>
      <c r="Q33" s="39">
        <f t="shared" si="1"/>
        <v>3</v>
      </c>
    </row>
    <row r="34" ht="42" customHeight="1" spans="1:17">
      <c r="A34" s="25">
        <v>28</v>
      </c>
      <c r="B34" s="26" t="s">
        <v>290</v>
      </c>
      <c r="C34" s="26" t="s">
        <v>384</v>
      </c>
      <c r="D34" s="38" t="s">
        <v>187</v>
      </c>
      <c r="E34" s="26" t="s">
        <v>385</v>
      </c>
      <c r="F34" s="26" t="s">
        <v>386</v>
      </c>
      <c r="G34" s="26" t="s">
        <v>387</v>
      </c>
      <c r="H34" s="26" t="s">
        <v>388</v>
      </c>
      <c r="I34" s="27"/>
      <c r="J34" s="25" t="s">
        <v>192</v>
      </c>
      <c r="K34" s="28"/>
      <c r="L34" s="36" t="s">
        <v>193</v>
      </c>
      <c r="M34" s="26" t="s">
        <v>389</v>
      </c>
      <c r="N34" s="25" t="s">
        <v>195</v>
      </c>
      <c r="O34" s="34" t="s">
        <v>196</v>
      </c>
      <c r="P34" s="35"/>
      <c r="Q34" s="39">
        <f t="shared" si="1"/>
        <v>2</v>
      </c>
    </row>
    <row r="35" ht="19.5" customHeight="1" spans="1:17">
      <c r="A35" s="3" t="s">
        <v>390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ht="42" customHeight="1" spans="1:17">
      <c r="A36" s="25">
        <v>29</v>
      </c>
      <c r="B36" s="26" t="s">
        <v>290</v>
      </c>
      <c r="C36" s="26" t="s">
        <v>391</v>
      </c>
      <c r="D36" s="38" t="s">
        <v>209</v>
      </c>
      <c r="E36" s="26" t="s">
        <v>392</v>
      </c>
      <c r="F36" s="26" t="s">
        <v>393</v>
      </c>
      <c r="G36" s="26" t="s">
        <v>394</v>
      </c>
      <c r="H36" s="26" t="s">
        <v>395</v>
      </c>
      <c r="I36" s="27"/>
      <c r="J36" s="25" t="s">
        <v>203</v>
      </c>
      <c r="K36" s="28"/>
      <c r="L36" s="29" t="s">
        <v>256</v>
      </c>
      <c r="M36" s="26" t="s">
        <v>396</v>
      </c>
      <c r="N36" s="25" t="s">
        <v>258</v>
      </c>
      <c r="O36" s="33" t="s">
        <v>259</v>
      </c>
      <c r="P36" s="35" t="s">
        <v>397</v>
      </c>
      <c r="Q36" s="39">
        <f t="shared" ref="Q36:Q48" si="2">LEN(J36)-LEN(SUBSTITUTE(J36,"★",""))</f>
        <v>4</v>
      </c>
    </row>
    <row r="37" ht="42" customHeight="1" spans="1:17">
      <c r="A37" s="25">
        <v>30</v>
      </c>
      <c r="B37" s="26" t="s">
        <v>290</v>
      </c>
      <c r="C37" s="26" t="s">
        <v>398</v>
      </c>
      <c r="D37" s="38" t="s">
        <v>209</v>
      </c>
      <c r="E37" s="26" t="s">
        <v>399</v>
      </c>
      <c r="F37" s="26" t="s">
        <v>400</v>
      </c>
      <c r="G37" s="26" t="s">
        <v>401</v>
      </c>
      <c r="H37" s="26" t="s">
        <v>402</v>
      </c>
      <c r="I37" s="27"/>
      <c r="J37" s="25" t="s">
        <v>233</v>
      </c>
      <c r="K37" s="28"/>
      <c r="L37" s="29" t="s">
        <v>256</v>
      </c>
      <c r="M37" s="26" t="s">
        <v>403</v>
      </c>
      <c r="N37" s="25" t="s">
        <v>258</v>
      </c>
      <c r="O37" s="33" t="s">
        <v>259</v>
      </c>
      <c r="P37" s="26" t="s">
        <v>404</v>
      </c>
      <c r="Q37" s="39">
        <f t="shared" si="2"/>
        <v>5</v>
      </c>
    </row>
    <row r="38" ht="42" customHeight="1" spans="1:17">
      <c r="A38" s="25">
        <v>31</v>
      </c>
      <c r="B38" s="26" t="s">
        <v>290</v>
      </c>
      <c r="C38" s="26" t="s">
        <v>405</v>
      </c>
      <c r="D38" s="38" t="s">
        <v>299</v>
      </c>
      <c r="E38" s="26" t="s">
        <v>406</v>
      </c>
      <c r="F38" s="26" t="s">
        <v>407</v>
      </c>
      <c r="G38" s="26" t="s">
        <v>408</v>
      </c>
      <c r="H38" s="26" t="s">
        <v>409</v>
      </c>
      <c r="I38" s="27"/>
      <c r="J38" s="25" t="s">
        <v>203</v>
      </c>
      <c r="K38" s="28"/>
      <c r="L38" s="29" t="s">
        <v>256</v>
      </c>
      <c r="M38" s="26" t="s">
        <v>410</v>
      </c>
      <c r="N38" s="25" t="s">
        <v>286</v>
      </c>
      <c r="O38" s="31" t="s">
        <v>287</v>
      </c>
      <c r="P38" s="26" t="s">
        <v>411</v>
      </c>
      <c r="Q38" s="39">
        <f t="shared" si="2"/>
        <v>4</v>
      </c>
    </row>
    <row r="39" ht="42" customHeight="1" spans="1:17">
      <c r="A39" s="25">
        <v>32</v>
      </c>
      <c r="B39" s="26" t="s">
        <v>290</v>
      </c>
      <c r="C39" s="26" t="s">
        <v>412</v>
      </c>
      <c r="D39" s="38" t="s">
        <v>299</v>
      </c>
      <c r="E39" s="26" t="s">
        <v>413</v>
      </c>
      <c r="F39" s="26" t="s">
        <v>414</v>
      </c>
      <c r="G39" s="26" t="s">
        <v>415</v>
      </c>
      <c r="H39" s="26" t="s">
        <v>416</v>
      </c>
      <c r="I39" s="27"/>
      <c r="J39" s="25" t="s">
        <v>214</v>
      </c>
      <c r="K39" s="28"/>
      <c r="L39" s="32" t="s">
        <v>241</v>
      </c>
      <c r="M39" s="26" t="s">
        <v>417</v>
      </c>
      <c r="N39" s="25" t="s">
        <v>258</v>
      </c>
      <c r="O39" s="33" t="s">
        <v>259</v>
      </c>
      <c r="P39" s="26" t="s">
        <v>418</v>
      </c>
      <c r="Q39" s="39">
        <f t="shared" si="2"/>
        <v>3</v>
      </c>
    </row>
    <row r="40" ht="42" customHeight="1" spans="1:17">
      <c r="A40" s="25">
        <v>33</v>
      </c>
      <c r="B40" s="26" t="s">
        <v>290</v>
      </c>
      <c r="C40" s="26" t="s">
        <v>419</v>
      </c>
      <c r="D40" s="38" t="s">
        <v>209</v>
      </c>
      <c r="E40" s="26" t="s">
        <v>420</v>
      </c>
      <c r="F40" s="26" t="s">
        <v>421</v>
      </c>
      <c r="G40" s="26" t="s">
        <v>422</v>
      </c>
      <c r="H40" s="26" t="s">
        <v>423</v>
      </c>
      <c r="I40" s="27"/>
      <c r="J40" s="25" t="s">
        <v>214</v>
      </c>
      <c r="K40" s="28"/>
      <c r="L40" s="36" t="s">
        <v>193</v>
      </c>
      <c r="M40" s="26" t="s">
        <v>424</v>
      </c>
      <c r="N40" s="25" t="s">
        <v>195</v>
      </c>
      <c r="O40" s="34" t="s">
        <v>196</v>
      </c>
      <c r="P40" s="35"/>
      <c r="Q40" s="39">
        <f t="shared" si="2"/>
        <v>3</v>
      </c>
    </row>
    <row r="41" ht="42" customHeight="1" spans="1:17">
      <c r="A41" s="25">
        <v>34</v>
      </c>
      <c r="B41" s="26" t="s">
        <v>290</v>
      </c>
      <c r="C41" s="26" t="s">
        <v>425</v>
      </c>
      <c r="D41" s="38" t="s">
        <v>299</v>
      </c>
      <c r="E41" s="26" t="s">
        <v>426</v>
      </c>
      <c r="F41" s="26" t="s">
        <v>427</v>
      </c>
      <c r="G41" s="26" t="s">
        <v>428</v>
      </c>
      <c r="H41" s="26" t="s">
        <v>429</v>
      </c>
      <c r="I41" s="27"/>
      <c r="J41" s="25" t="s">
        <v>203</v>
      </c>
      <c r="K41" s="28"/>
      <c r="L41" s="29" t="s">
        <v>256</v>
      </c>
      <c r="M41" s="26" t="s">
        <v>430</v>
      </c>
      <c r="N41" s="25" t="s">
        <v>258</v>
      </c>
      <c r="O41" s="33" t="s">
        <v>259</v>
      </c>
      <c r="P41" s="35"/>
      <c r="Q41" s="39">
        <f t="shared" si="2"/>
        <v>4</v>
      </c>
    </row>
    <row r="42" ht="42" customHeight="1" spans="1:17">
      <c r="A42" s="25">
        <v>35</v>
      </c>
      <c r="B42" s="26" t="s">
        <v>290</v>
      </c>
      <c r="C42" s="26" t="s">
        <v>431</v>
      </c>
      <c r="D42" s="38" t="s">
        <v>319</v>
      </c>
      <c r="E42" s="26" t="s">
        <v>432</v>
      </c>
      <c r="F42" s="26" t="s">
        <v>433</v>
      </c>
      <c r="G42" s="26" t="s">
        <v>434</v>
      </c>
      <c r="H42" s="26" t="s">
        <v>435</v>
      </c>
      <c r="I42" s="27"/>
      <c r="J42" s="25" t="s">
        <v>203</v>
      </c>
      <c r="K42" s="28"/>
      <c r="L42" s="29" t="s">
        <v>256</v>
      </c>
      <c r="M42" s="26" t="s">
        <v>436</v>
      </c>
      <c r="N42" s="25" t="s">
        <v>258</v>
      </c>
      <c r="O42" s="33" t="s">
        <v>259</v>
      </c>
      <c r="P42" s="35"/>
      <c r="Q42" s="39">
        <f t="shared" si="2"/>
        <v>4</v>
      </c>
    </row>
    <row r="43" ht="42" customHeight="1" spans="1:17">
      <c r="A43" s="25">
        <v>36</v>
      </c>
      <c r="B43" s="26" t="s">
        <v>290</v>
      </c>
      <c r="C43" s="26" t="s">
        <v>437</v>
      </c>
      <c r="D43" s="38" t="s">
        <v>187</v>
      </c>
      <c r="E43" s="26" t="s">
        <v>438</v>
      </c>
      <c r="F43" s="26" t="s">
        <v>439</v>
      </c>
      <c r="G43" s="26" t="s">
        <v>440</v>
      </c>
      <c r="H43" s="26" t="s">
        <v>441</v>
      </c>
      <c r="I43" s="27"/>
      <c r="J43" s="25" t="s">
        <v>192</v>
      </c>
      <c r="K43" s="28"/>
      <c r="L43" s="36" t="s">
        <v>193</v>
      </c>
      <c r="M43" s="26" t="s">
        <v>442</v>
      </c>
      <c r="N43" s="25" t="s">
        <v>195</v>
      </c>
      <c r="O43" s="34" t="s">
        <v>196</v>
      </c>
      <c r="P43" s="35"/>
      <c r="Q43" s="39">
        <f t="shared" si="2"/>
        <v>2</v>
      </c>
    </row>
    <row r="44" ht="42" customHeight="1" spans="1:17">
      <c r="A44" s="25">
        <v>37</v>
      </c>
      <c r="B44" s="26" t="s">
        <v>290</v>
      </c>
      <c r="C44" s="26" t="s">
        <v>443</v>
      </c>
      <c r="D44" s="38" t="s">
        <v>299</v>
      </c>
      <c r="E44" s="26" t="s">
        <v>444</v>
      </c>
      <c r="F44" s="26" t="s">
        <v>445</v>
      </c>
      <c r="G44" s="26" t="s">
        <v>446</v>
      </c>
      <c r="H44" s="26" t="s">
        <v>447</v>
      </c>
      <c r="I44" s="27"/>
      <c r="J44" s="25" t="s">
        <v>233</v>
      </c>
      <c r="K44" s="28"/>
      <c r="L44" s="32" t="s">
        <v>241</v>
      </c>
      <c r="M44" s="26" t="s">
        <v>448</v>
      </c>
      <c r="N44" s="25" t="s">
        <v>195</v>
      </c>
      <c r="O44" s="31" t="s">
        <v>287</v>
      </c>
      <c r="P44" s="26" t="s">
        <v>449</v>
      </c>
      <c r="Q44" s="39">
        <f t="shared" si="2"/>
        <v>5</v>
      </c>
    </row>
    <row r="45" ht="42" customHeight="1" spans="1:17">
      <c r="A45" s="25">
        <v>38</v>
      </c>
      <c r="B45" s="26" t="s">
        <v>290</v>
      </c>
      <c r="C45" s="26" t="s">
        <v>450</v>
      </c>
      <c r="D45" s="38" t="s">
        <v>209</v>
      </c>
      <c r="E45" s="26" t="s">
        <v>252</v>
      </c>
      <c r="F45" s="26" t="s">
        <v>451</v>
      </c>
      <c r="G45" s="26" t="s">
        <v>452</v>
      </c>
      <c r="H45" s="26" t="s">
        <v>453</v>
      </c>
      <c r="I45" s="27"/>
      <c r="J45" s="25" t="s">
        <v>214</v>
      </c>
      <c r="K45" s="28"/>
      <c r="L45" s="32" t="s">
        <v>241</v>
      </c>
      <c r="M45" s="26" t="s">
        <v>454</v>
      </c>
      <c r="N45" s="25" t="s">
        <v>195</v>
      </c>
      <c r="O45" s="34" t="s">
        <v>196</v>
      </c>
      <c r="P45" s="35"/>
      <c r="Q45" s="39">
        <f t="shared" si="2"/>
        <v>3</v>
      </c>
    </row>
    <row r="46" ht="42" customHeight="1" spans="1:17">
      <c r="A46" s="25">
        <v>39</v>
      </c>
      <c r="B46" s="26" t="s">
        <v>290</v>
      </c>
      <c r="C46" s="26" t="s">
        <v>455</v>
      </c>
      <c r="D46" s="38" t="s">
        <v>209</v>
      </c>
      <c r="E46" s="26" t="s">
        <v>438</v>
      </c>
      <c r="F46" s="26" t="s">
        <v>456</v>
      </c>
      <c r="G46" s="26" t="s">
        <v>457</v>
      </c>
      <c r="H46" s="26" t="s">
        <v>458</v>
      </c>
      <c r="I46" s="27"/>
      <c r="J46" s="25" t="s">
        <v>192</v>
      </c>
      <c r="K46" s="28"/>
      <c r="L46" s="36" t="s">
        <v>193</v>
      </c>
      <c r="M46" s="26" t="s">
        <v>459</v>
      </c>
      <c r="N46" s="25" t="s">
        <v>195</v>
      </c>
      <c r="O46" s="34" t="s">
        <v>196</v>
      </c>
      <c r="P46" s="35"/>
      <c r="Q46" s="39">
        <f t="shared" si="2"/>
        <v>2</v>
      </c>
    </row>
    <row r="47" ht="42" customHeight="1" spans="1:17">
      <c r="A47" s="25">
        <v>40</v>
      </c>
      <c r="B47" s="26" t="s">
        <v>290</v>
      </c>
      <c r="C47" s="26" t="s">
        <v>460</v>
      </c>
      <c r="D47" s="38" t="s">
        <v>209</v>
      </c>
      <c r="E47" s="26" t="s">
        <v>461</v>
      </c>
      <c r="F47" s="26" t="s">
        <v>462</v>
      </c>
      <c r="G47" s="26" t="s">
        <v>463</v>
      </c>
      <c r="H47" s="26" t="s">
        <v>464</v>
      </c>
      <c r="I47" s="27"/>
      <c r="J47" s="25" t="s">
        <v>214</v>
      </c>
      <c r="K47" s="28"/>
      <c r="L47" s="29" t="s">
        <v>256</v>
      </c>
      <c r="M47" s="26" t="s">
        <v>465</v>
      </c>
      <c r="N47" s="25" t="s">
        <v>258</v>
      </c>
      <c r="O47" s="33" t="s">
        <v>259</v>
      </c>
      <c r="P47" s="26" t="s">
        <v>466</v>
      </c>
      <c r="Q47" s="39">
        <f t="shared" si="2"/>
        <v>3</v>
      </c>
    </row>
    <row r="48" ht="42" customHeight="1" spans="1:17">
      <c r="A48" s="25">
        <v>41</v>
      </c>
      <c r="B48" s="26" t="s">
        <v>290</v>
      </c>
      <c r="C48" s="26" t="s">
        <v>467</v>
      </c>
      <c r="D48" s="38" t="s">
        <v>187</v>
      </c>
      <c r="E48" s="26" t="s">
        <v>468</v>
      </c>
      <c r="F48" s="26" t="s">
        <v>469</v>
      </c>
      <c r="G48" s="26" t="s">
        <v>470</v>
      </c>
      <c r="H48" s="26" t="s">
        <v>471</v>
      </c>
      <c r="I48" s="27"/>
      <c r="J48" s="25" t="s">
        <v>203</v>
      </c>
      <c r="K48" s="28"/>
      <c r="L48" s="32" t="s">
        <v>241</v>
      </c>
      <c r="M48" s="26" t="s">
        <v>472</v>
      </c>
      <c r="N48" s="25" t="s">
        <v>258</v>
      </c>
      <c r="O48" s="33" t="s">
        <v>259</v>
      </c>
      <c r="P48" s="35"/>
      <c r="Q48" s="39">
        <f t="shared" si="2"/>
        <v>4</v>
      </c>
    </row>
    <row r="49" ht="19.5" customHeight="1" spans="1:17">
      <c r="A49" s="3" t="s">
        <v>473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ht="42" customHeight="1" spans="1:17">
      <c r="A50" s="25">
        <v>42</v>
      </c>
      <c r="B50" s="26" t="s">
        <v>474</v>
      </c>
      <c r="C50" s="26" t="s">
        <v>475</v>
      </c>
      <c r="D50" s="38" t="s">
        <v>299</v>
      </c>
      <c r="E50" s="26" t="s">
        <v>476</v>
      </c>
      <c r="F50" s="26" t="s">
        <v>477</v>
      </c>
      <c r="G50" s="26" t="s">
        <v>478</v>
      </c>
      <c r="H50" s="26" t="s">
        <v>479</v>
      </c>
      <c r="I50" s="27"/>
      <c r="J50" s="25" t="s">
        <v>203</v>
      </c>
      <c r="K50" s="28"/>
      <c r="L50" s="29" t="s">
        <v>256</v>
      </c>
      <c r="M50" s="26" t="s">
        <v>480</v>
      </c>
      <c r="N50" s="25" t="s">
        <v>286</v>
      </c>
      <c r="O50" s="30" t="s">
        <v>317</v>
      </c>
      <c r="P50" s="35"/>
      <c r="Q50" s="39">
        <f t="shared" ref="Q50:Q64" si="3">LEN(J50)-LEN(SUBSTITUTE(J50,"★",""))</f>
        <v>4</v>
      </c>
    </row>
    <row r="51" ht="42" customHeight="1" spans="1:17">
      <c r="A51" s="25">
        <v>43</v>
      </c>
      <c r="B51" s="26" t="s">
        <v>474</v>
      </c>
      <c r="C51" s="26" t="s">
        <v>481</v>
      </c>
      <c r="D51" s="38" t="s">
        <v>209</v>
      </c>
      <c r="E51" s="26" t="s">
        <v>482</v>
      </c>
      <c r="F51" s="26" t="s">
        <v>483</v>
      </c>
      <c r="G51" s="26" t="s">
        <v>484</v>
      </c>
      <c r="H51" s="26" t="s">
        <v>485</v>
      </c>
      <c r="I51" s="27"/>
      <c r="J51" s="25" t="s">
        <v>233</v>
      </c>
      <c r="K51" s="28"/>
      <c r="L51" s="29" t="s">
        <v>256</v>
      </c>
      <c r="M51" s="26" t="s">
        <v>486</v>
      </c>
      <c r="N51" s="25" t="s">
        <v>286</v>
      </c>
      <c r="O51" s="30" t="s">
        <v>317</v>
      </c>
      <c r="P51" s="26" t="s">
        <v>487</v>
      </c>
      <c r="Q51" s="39">
        <f t="shared" si="3"/>
        <v>5</v>
      </c>
    </row>
    <row r="52" ht="42" customHeight="1" spans="1:17">
      <c r="A52" s="25">
        <v>44</v>
      </c>
      <c r="B52" s="26" t="s">
        <v>474</v>
      </c>
      <c r="C52" s="26" t="s">
        <v>488</v>
      </c>
      <c r="D52" s="38" t="s">
        <v>187</v>
      </c>
      <c r="E52" s="26" t="s">
        <v>489</v>
      </c>
      <c r="F52" s="26" t="s">
        <v>490</v>
      </c>
      <c r="G52" s="26" t="s">
        <v>491</v>
      </c>
      <c r="H52" s="26" t="s">
        <v>492</v>
      </c>
      <c r="I52" s="27"/>
      <c r="J52" s="25" t="s">
        <v>203</v>
      </c>
      <c r="K52" s="28"/>
      <c r="L52" s="32" t="s">
        <v>241</v>
      </c>
      <c r="M52" s="26" t="s">
        <v>493</v>
      </c>
      <c r="N52" s="25" t="s">
        <v>205</v>
      </c>
      <c r="O52" s="37" t="s">
        <v>206</v>
      </c>
      <c r="P52" s="26" t="s">
        <v>494</v>
      </c>
      <c r="Q52" s="39">
        <f t="shared" si="3"/>
        <v>4</v>
      </c>
    </row>
    <row r="53" ht="42" customHeight="1" spans="1:17">
      <c r="A53" s="25">
        <v>45</v>
      </c>
      <c r="B53" s="26" t="s">
        <v>474</v>
      </c>
      <c r="C53" s="26" t="s">
        <v>495</v>
      </c>
      <c r="D53" s="38" t="s">
        <v>319</v>
      </c>
      <c r="E53" s="26" t="s">
        <v>496</v>
      </c>
      <c r="F53" s="26" t="s">
        <v>497</v>
      </c>
      <c r="G53" s="26" t="s">
        <v>498</v>
      </c>
      <c r="H53" s="26" t="s">
        <v>499</v>
      </c>
      <c r="I53" s="27"/>
      <c r="J53" s="25" t="s">
        <v>203</v>
      </c>
      <c r="K53" s="28"/>
      <c r="L53" s="29" t="s">
        <v>256</v>
      </c>
      <c r="M53" s="26" t="s">
        <v>500</v>
      </c>
      <c r="N53" s="25" t="s">
        <v>286</v>
      </c>
      <c r="O53" s="30" t="s">
        <v>317</v>
      </c>
      <c r="P53" s="26" t="s">
        <v>501</v>
      </c>
      <c r="Q53" s="39">
        <f t="shared" si="3"/>
        <v>4</v>
      </c>
    </row>
    <row r="54" ht="42" customHeight="1" spans="1:17">
      <c r="A54" s="25">
        <v>46</v>
      </c>
      <c r="B54" s="26" t="s">
        <v>474</v>
      </c>
      <c r="C54" s="26" t="s">
        <v>502</v>
      </c>
      <c r="D54" s="38" t="s">
        <v>187</v>
      </c>
      <c r="E54" s="26" t="s">
        <v>503</v>
      </c>
      <c r="F54" s="26" t="s">
        <v>504</v>
      </c>
      <c r="G54" s="26" t="s">
        <v>505</v>
      </c>
      <c r="H54" s="26" t="s">
        <v>506</v>
      </c>
      <c r="I54" s="27"/>
      <c r="J54" s="25" t="s">
        <v>203</v>
      </c>
      <c r="K54" s="28"/>
      <c r="L54" s="32" t="s">
        <v>241</v>
      </c>
      <c r="M54" s="26" t="s">
        <v>507</v>
      </c>
      <c r="N54" s="25" t="s">
        <v>205</v>
      </c>
      <c r="O54" s="37" t="s">
        <v>206</v>
      </c>
      <c r="P54" s="26" t="s">
        <v>508</v>
      </c>
      <c r="Q54" s="39">
        <f t="shared" si="3"/>
        <v>4</v>
      </c>
    </row>
    <row r="55" ht="42" customHeight="1" spans="1:17">
      <c r="A55" s="25">
        <v>47</v>
      </c>
      <c r="B55" s="26" t="s">
        <v>474</v>
      </c>
      <c r="C55" s="26" t="s">
        <v>509</v>
      </c>
      <c r="D55" s="38" t="s">
        <v>198</v>
      </c>
      <c r="E55" s="26" t="s">
        <v>510</v>
      </c>
      <c r="F55" s="26" t="s">
        <v>511</v>
      </c>
      <c r="G55" s="26" t="s">
        <v>512</v>
      </c>
      <c r="H55" s="26" t="s">
        <v>513</v>
      </c>
      <c r="I55" s="27"/>
      <c r="J55" s="25" t="s">
        <v>214</v>
      </c>
      <c r="K55" s="28"/>
      <c r="L55" s="32" t="s">
        <v>241</v>
      </c>
      <c r="M55" s="26" t="s">
        <v>514</v>
      </c>
      <c r="N55" s="25" t="s">
        <v>286</v>
      </c>
      <c r="O55" s="30" t="s">
        <v>317</v>
      </c>
      <c r="P55" s="26" t="s">
        <v>515</v>
      </c>
      <c r="Q55" s="39">
        <f t="shared" si="3"/>
        <v>3</v>
      </c>
    </row>
    <row r="56" ht="42" customHeight="1" spans="1:17">
      <c r="A56" s="25">
        <v>48</v>
      </c>
      <c r="B56" s="26" t="s">
        <v>474</v>
      </c>
      <c r="C56" s="26" t="s">
        <v>516</v>
      </c>
      <c r="D56" s="38" t="s">
        <v>299</v>
      </c>
      <c r="E56" s="26" t="s">
        <v>517</v>
      </c>
      <c r="F56" s="26" t="s">
        <v>518</v>
      </c>
      <c r="G56" s="26" t="s">
        <v>519</v>
      </c>
      <c r="H56" s="26" t="s">
        <v>520</v>
      </c>
      <c r="I56" s="27"/>
      <c r="J56" s="25" t="s">
        <v>214</v>
      </c>
      <c r="K56" s="28"/>
      <c r="L56" s="32" t="s">
        <v>241</v>
      </c>
      <c r="M56" s="26" t="s">
        <v>521</v>
      </c>
      <c r="N56" s="25" t="s">
        <v>286</v>
      </c>
      <c r="O56" s="30" t="s">
        <v>317</v>
      </c>
      <c r="P56" s="35"/>
      <c r="Q56" s="39">
        <f t="shared" si="3"/>
        <v>3</v>
      </c>
    </row>
    <row r="57" ht="42" customHeight="1" spans="1:17">
      <c r="A57" s="25">
        <v>49</v>
      </c>
      <c r="B57" s="26" t="s">
        <v>474</v>
      </c>
      <c r="C57" s="26" t="s">
        <v>522</v>
      </c>
      <c r="D57" s="38" t="s">
        <v>198</v>
      </c>
      <c r="E57" s="26" t="s">
        <v>523</v>
      </c>
      <c r="F57" s="26" t="s">
        <v>524</v>
      </c>
      <c r="G57" s="26" t="s">
        <v>525</v>
      </c>
      <c r="H57" s="26" t="s">
        <v>526</v>
      </c>
      <c r="I57" s="27"/>
      <c r="J57" s="25" t="s">
        <v>214</v>
      </c>
      <c r="K57" s="28"/>
      <c r="L57" s="32" t="s">
        <v>241</v>
      </c>
      <c r="M57" s="26" t="s">
        <v>527</v>
      </c>
      <c r="N57" s="25" t="s">
        <v>205</v>
      </c>
      <c r="O57" s="37" t="s">
        <v>206</v>
      </c>
      <c r="P57" s="35"/>
      <c r="Q57" s="39">
        <f t="shared" si="3"/>
        <v>3</v>
      </c>
    </row>
    <row r="58" ht="42" customHeight="1" spans="1:17">
      <c r="A58" s="25">
        <v>50</v>
      </c>
      <c r="B58" s="26" t="s">
        <v>474</v>
      </c>
      <c r="C58" s="26" t="s">
        <v>528</v>
      </c>
      <c r="D58" s="38" t="s">
        <v>198</v>
      </c>
      <c r="E58" s="26" t="s">
        <v>529</v>
      </c>
      <c r="F58" s="26" t="s">
        <v>530</v>
      </c>
      <c r="G58" s="26" t="s">
        <v>531</v>
      </c>
      <c r="H58" s="26" t="s">
        <v>532</v>
      </c>
      <c r="I58" s="27"/>
      <c r="J58" s="25" t="s">
        <v>214</v>
      </c>
      <c r="K58" s="28"/>
      <c r="L58" s="32" t="s">
        <v>241</v>
      </c>
      <c r="M58" s="26" t="s">
        <v>533</v>
      </c>
      <c r="N58" s="25" t="s">
        <v>205</v>
      </c>
      <c r="O58" s="37" t="s">
        <v>206</v>
      </c>
      <c r="P58" s="35"/>
      <c r="Q58" s="39">
        <f t="shared" si="3"/>
        <v>3</v>
      </c>
    </row>
    <row r="59" ht="42" customHeight="1" spans="1:17">
      <c r="A59" s="25">
        <v>51</v>
      </c>
      <c r="B59" s="26" t="s">
        <v>474</v>
      </c>
      <c r="C59" s="26" t="s">
        <v>534</v>
      </c>
      <c r="D59" s="38" t="s">
        <v>209</v>
      </c>
      <c r="E59" s="26" t="s">
        <v>535</v>
      </c>
      <c r="F59" s="26" t="s">
        <v>536</v>
      </c>
      <c r="G59" s="26" t="s">
        <v>537</v>
      </c>
      <c r="H59" s="26" t="s">
        <v>538</v>
      </c>
      <c r="I59" s="27"/>
      <c r="J59" s="25" t="s">
        <v>214</v>
      </c>
      <c r="K59" s="28"/>
      <c r="L59" s="29" t="s">
        <v>256</v>
      </c>
      <c r="M59" s="26" t="s">
        <v>539</v>
      </c>
      <c r="N59" s="25" t="s">
        <v>286</v>
      </c>
      <c r="O59" s="30" t="s">
        <v>317</v>
      </c>
      <c r="P59" s="26" t="s">
        <v>540</v>
      </c>
      <c r="Q59" s="39">
        <f t="shared" si="3"/>
        <v>3</v>
      </c>
    </row>
    <row r="60" ht="42" customHeight="1" spans="1:17">
      <c r="A60" s="25">
        <v>52</v>
      </c>
      <c r="B60" s="26" t="s">
        <v>474</v>
      </c>
      <c r="C60" s="26" t="s">
        <v>541</v>
      </c>
      <c r="D60" s="38" t="s">
        <v>187</v>
      </c>
      <c r="E60" s="26" t="s">
        <v>542</v>
      </c>
      <c r="F60" s="26" t="s">
        <v>543</v>
      </c>
      <c r="G60" s="26" t="s">
        <v>544</v>
      </c>
      <c r="H60" s="26" t="s">
        <v>545</v>
      </c>
      <c r="I60" s="27"/>
      <c r="J60" s="25" t="s">
        <v>192</v>
      </c>
      <c r="K60" s="28"/>
      <c r="L60" s="36" t="s">
        <v>193</v>
      </c>
      <c r="M60" s="26" t="s">
        <v>546</v>
      </c>
      <c r="N60" s="25" t="s">
        <v>205</v>
      </c>
      <c r="O60" s="37" t="s">
        <v>206</v>
      </c>
      <c r="P60" s="35"/>
      <c r="Q60" s="39">
        <f t="shared" si="3"/>
        <v>2</v>
      </c>
    </row>
    <row r="61" ht="42" customHeight="1" spans="1:17">
      <c r="A61" s="25">
        <v>53</v>
      </c>
      <c r="B61" s="26" t="s">
        <v>474</v>
      </c>
      <c r="C61" s="26" t="s">
        <v>547</v>
      </c>
      <c r="D61" s="38" t="s">
        <v>198</v>
      </c>
      <c r="E61" s="26" t="s">
        <v>548</v>
      </c>
      <c r="F61" s="26" t="s">
        <v>549</v>
      </c>
      <c r="G61" s="26" t="s">
        <v>550</v>
      </c>
      <c r="H61" s="26" t="s">
        <v>551</v>
      </c>
      <c r="I61" s="27"/>
      <c r="J61" s="25" t="s">
        <v>214</v>
      </c>
      <c r="K61" s="28"/>
      <c r="L61" s="29" t="s">
        <v>256</v>
      </c>
      <c r="M61" s="26" t="s">
        <v>552</v>
      </c>
      <c r="N61" s="25" t="s">
        <v>286</v>
      </c>
      <c r="O61" s="30" t="s">
        <v>317</v>
      </c>
      <c r="P61" s="35"/>
      <c r="Q61" s="39">
        <f t="shared" si="3"/>
        <v>3</v>
      </c>
    </row>
    <row r="62" ht="42" customHeight="1" spans="1:17">
      <c r="A62" s="25">
        <v>54</v>
      </c>
      <c r="B62" s="26" t="s">
        <v>474</v>
      </c>
      <c r="C62" s="26" t="s">
        <v>553</v>
      </c>
      <c r="D62" s="38" t="s">
        <v>187</v>
      </c>
      <c r="E62" s="26" t="s">
        <v>554</v>
      </c>
      <c r="F62" s="26" t="s">
        <v>555</v>
      </c>
      <c r="G62" s="26" t="s">
        <v>556</v>
      </c>
      <c r="H62" s="26" t="s">
        <v>557</v>
      </c>
      <c r="I62" s="27"/>
      <c r="J62" s="25" t="s">
        <v>192</v>
      </c>
      <c r="K62" s="28"/>
      <c r="L62" s="36" t="s">
        <v>193</v>
      </c>
      <c r="M62" s="26" t="s">
        <v>558</v>
      </c>
      <c r="N62" s="25" t="s">
        <v>205</v>
      </c>
      <c r="O62" s="37" t="s">
        <v>206</v>
      </c>
      <c r="P62" s="35"/>
      <c r="Q62" s="39">
        <f t="shared" si="3"/>
        <v>2</v>
      </c>
    </row>
    <row r="63" ht="42" customHeight="1" spans="1:17">
      <c r="A63" s="25">
        <v>55</v>
      </c>
      <c r="B63" s="26" t="s">
        <v>474</v>
      </c>
      <c r="C63" s="26" t="s">
        <v>559</v>
      </c>
      <c r="D63" s="38" t="s">
        <v>198</v>
      </c>
      <c r="E63" s="26" t="s">
        <v>560</v>
      </c>
      <c r="F63" s="26" t="s">
        <v>561</v>
      </c>
      <c r="G63" s="26" t="s">
        <v>562</v>
      </c>
      <c r="H63" s="26" t="s">
        <v>563</v>
      </c>
      <c r="I63" s="27"/>
      <c r="J63" s="25" t="s">
        <v>214</v>
      </c>
      <c r="K63" s="28"/>
      <c r="L63" s="32" t="s">
        <v>241</v>
      </c>
      <c r="M63" s="26" t="s">
        <v>564</v>
      </c>
      <c r="N63" s="25" t="s">
        <v>286</v>
      </c>
      <c r="O63" s="30" t="s">
        <v>317</v>
      </c>
      <c r="P63" s="35"/>
      <c r="Q63" s="39">
        <f t="shared" si="3"/>
        <v>3</v>
      </c>
    </row>
    <row r="64" ht="42" customHeight="1" spans="1:17">
      <c r="A64" s="25">
        <v>56</v>
      </c>
      <c r="B64" s="26" t="s">
        <v>474</v>
      </c>
      <c r="C64" s="26" t="s">
        <v>565</v>
      </c>
      <c r="D64" s="38" t="s">
        <v>566</v>
      </c>
      <c r="E64" s="26" t="s">
        <v>567</v>
      </c>
      <c r="F64" s="26" t="s">
        <v>568</v>
      </c>
      <c r="G64" s="26" t="s">
        <v>569</v>
      </c>
      <c r="H64" s="26" t="s">
        <v>570</v>
      </c>
      <c r="I64" s="27"/>
      <c r="J64" s="25" t="s">
        <v>214</v>
      </c>
      <c r="K64" s="28"/>
      <c r="L64" s="36" t="s">
        <v>193</v>
      </c>
      <c r="M64" s="26" t="s">
        <v>571</v>
      </c>
      <c r="N64" s="25" t="s">
        <v>205</v>
      </c>
      <c r="O64" s="37" t="s">
        <v>206</v>
      </c>
      <c r="P64" s="35"/>
      <c r="Q64" s="39">
        <f t="shared" si="3"/>
        <v>3</v>
      </c>
    </row>
    <row r="65" ht="19.5" customHeight="1" spans="1:17">
      <c r="A65" s="3" t="s">
        <v>572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ht="42" customHeight="1" spans="1:17">
      <c r="A66" s="25">
        <v>57</v>
      </c>
      <c r="B66" s="26" t="s">
        <v>573</v>
      </c>
      <c r="C66" s="26" t="s">
        <v>574</v>
      </c>
      <c r="D66" s="38" t="s">
        <v>187</v>
      </c>
      <c r="E66" s="26" t="s">
        <v>575</v>
      </c>
      <c r="F66" s="26" t="s">
        <v>576</v>
      </c>
      <c r="G66" s="26" t="s">
        <v>577</v>
      </c>
      <c r="H66" s="26" t="s">
        <v>578</v>
      </c>
      <c r="I66" s="27"/>
      <c r="J66" s="25" t="s">
        <v>203</v>
      </c>
      <c r="K66" s="28"/>
      <c r="L66" s="36" t="s">
        <v>193</v>
      </c>
      <c r="M66" s="26" t="s">
        <v>579</v>
      </c>
      <c r="N66" s="25" t="s">
        <v>205</v>
      </c>
      <c r="O66" s="37" t="s">
        <v>206</v>
      </c>
      <c r="P66" s="26" t="s">
        <v>580</v>
      </c>
      <c r="Q66" s="39">
        <f t="shared" ref="Q66:Q78" si="4">LEN(J66)-LEN(SUBSTITUTE(J66,"★",""))</f>
        <v>4</v>
      </c>
    </row>
    <row r="67" ht="42" customHeight="1" spans="1:17">
      <c r="A67" s="25">
        <v>58</v>
      </c>
      <c r="B67" s="26" t="s">
        <v>573</v>
      </c>
      <c r="C67" s="26" t="s">
        <v>581</v>
      </c>
      <c r="D67" s="38" t="s">
        <v>299</v>
      </c>
      <c r="E67" s="26" t="s">
        <v>575</v>
      </c>
      <c r="F67" s="26" t="s">
        <v>582</v>
      </c>
      <c r="G67" s="26" t="s">
        <v>583</v>
      </c>
      <c r="H67" s="26" t="s">
        <v>584</v>
      </c>
      <c r="I67" s="27"/>
      <c r="J67" s="25" t="s">
        <v>233</v>
      </c>
      <c r="K67" s="28"/>
      <c r="L67" s="32" t="s">
        <v>241</v>
      </c>
      <c r="M67" s="26" t="s">
        <v>585</v>
      </c>
      <c r="N67" s="25" t="s">
        <v>205</v>
      </c>
      <c r="O67" s="37" t="s">
        <v>206</v>
      </c>
      <c r="P67" s="26" t="s">
        <v>586</v>
      </c>
      <c r="Q67" s="39">
        <f t="shared" si="4"/>
        <v>5</v>
      </c>
    </row>
    <row r="68" ht="42" customHeight="1" spans="1:17">
      <c r="A68" s="25">
        <v>59</v>
      </c>
      <c r="B68" s="26" t="s">
        <v>573</v>
      </c>
      <c r="C68" s="26" t="s">
        <v>587</v>
      </c>
      <c r="D68" s="38" t="s">
        <v>299</v>
      </c>
      <c r="E68" s="26" t="s">
        <v>575</v>
      </c>
      <c r="F68" s="26" t="s">
        <v>588</v>
      </c>
      <c r="G68" s="26" t="s">
        <v>589</v>
      </c>
      <c r="H68" s="26" t="s">
        <v>590</v>
      </c>
      <c r="I68" s="27"/>
      <c r="J68" s="25" t="s">
        <v>233</v>
      </c>
      <c r="K68" s="28"/>
      <c r="L68" s="32" t="s">
        <v>241</v>
      </c>
      <c r="M68" s="26" t="s">
        <v>591</v>
      </c>
      <c r="N68" s="25" t="s">
        <v>205</v>
      </c>
      <c r="O68" s="37" t="s">
        <v>206</v>
      </c>
      <c r="P68" s="26" t="s">
        <v>592</v>
      </c>
      <c r="Q68" s="39">
        <f t="shared" si="4"/>
        <v>5</v>
      </c>
    </row>
    <row r="69" ht="42" customHeight="1" spans="1:17">
      <c r="A69" s="25">
        <v>60</v>
      </c>
      <c r="B69" s="26" t="s">
        <v>573</v>
      </c>
      <c r="C69" s="26" t="s">
        <v>593</v>
      </c>
      <c r="D69" s="38" t="s">
        <v>187</v>
      </c>
      <c r="E69" s="26" t="s">
        <v>575</v>
      </c>
      <c r="F69" s="26" t="s">
        <v>594</v>
      </c>
      <c r="G69" s="26" t="s">
        <v>595</v>
      </c>
      <c r="H69" s="26" t="s">
        <v>596</v>
      </c>
      <c r="I69" s="27"/>
      <c r="J69" s="25" t="s">
        <v>203</v>
      </c>
      <c r="K69" s="28"/>
      <c r="L69" s="32" t="s">
        <v>241</v>
      </c>
      <c r="M69" s="26" t="s">
        <v>597</v>
      </c>
      <c r="N69" s="25" t="s">
        <v>205</v>
      </c>
      <c r="O69" s="37" t="s">
        <v>206</v>
      </c>
      <c r="P69" s="26" t="s">
        <v>592</v>
      </c>
      <c r="Q69" s="39">
        <f t="shared" si="4"/>
        <v>4</v>
      </c>
    </row>
    <row r="70" ht="42" customHeight="1" spans="1:17">
      <c r="A70" s="25">
        <v>61</v>
      </c>
      <c r="B70" s="26" t="s">
        <v>573</v>
      </c>
      <c r="C70" s="26" t="s">
        <v>598</v>
      </c>
      <c r="D70" s="38" t="s">
        <v>299</v>
      </c>
      <c r="E70" s="26" t="s">
        <v>599</v>
      </c>
      <c r="F70" s="26" t="s">
        <v>600</v>
      </c>
      <c r="G70" s="26" t="s">
        <v>601</v>
      </c>
      <c r="H70" s="26" t="s">
        <v>602</v>
      </c>
      <c r="I70" s="27"/>
      <c r="J70" s="25" t="s">
        <v>233</v>
      </c>
      <c r="K70" s="28"/>
      <c r="L70" s="36" t="s">
        <v>193</v>
      </c>
      <c r="M70" s="26" t="s">
        <v>603</v>
      </c>
      <c r="N70" s="25" t="s">
        <v>205</v>
      </c>
      <c r="O70" s="37" t="s">
        <v>206</v>
      </c>
      <c r="P70" s="26" t="s">
        <v>604</v>
      </c>
      <c r="Q70" s="39">
        <f t="shared" si="4"/>
        <v>5</v>
      </c>
    </row>
    <row r="71" ht="42" customHeight="1" spans="1:17">
      <c r="A71" s="25">
        <v>62</v>
      </c>
      <c r="B71" s="26" t="s">
        <v>573</v>
      </c>
      <c r="C71" s="26" t="s">
        <v>605</v>
      </c>
      <c r="D71" s="38" t="s">
        <v>299</v>
      </c>
      <c r="E71" s="26" t="s">
        <v>606</v>
      </c>
      <c r="F71" s="26" t="s">
        <v>607</v>
      </c>
      <c r="G71" s="26" t="s">
        <v>608</v>
      </c>
      <c r="H71" s="26" t="s">
        <v>609</v>
      </c>
      <c r="I71" s="27"/>
      <c r="J71" s="25" t="s">
        <v>203</v>
      </c>
      <c r="K71" s="28"/>
      <c r="L71" s="36" t="s">
        <v>193</v>
      </c>
      <c r="M71" s="26" t="s">
        <v>610</v>
      </c>
      <c r="N71" s="25" t="s">
        <v>205</v>
      </c>
      <c r="O71" s="37" t="s">
        <v>206</v>
      </c>
      <c r="P71" s="35"/>
      <c r="Q71" s="39">
        <f t="shared" si="4"/>
        <v>4</v>
      </c>
    </row>
    <row r="72" ht="42" customHeight="1" spans="1:17">
      <c r="A72" s="25">
        <v>63</v>
      </c>
      <c r="B72" s="26" t="s">
        <v>573</v>
      </c>
      <c r="C72" s="26" t="s">
        <v>611</v>
      </c>
      <c r="D72" s="38" t="s">
        <v>299</v>
      </c>
      <c r="E72" s="26" t="s">
        <v>612</v>
      </c>
      <c r="F72" s="26" t="s">
        <v>613</v>
      </c>
      <c r="G72" s="26" t="s">
        <v>614</v>
      </c>
      <c r="H72" s="26" t="s">
        <v>615</v>
      </c>
      <c r="I72" s="27"/>
      <c r="J72" s="25" t="s">
        <v>214</v>
      </c>
      <c r="K72" s="28"/>
      <c r="L72" s="36" t="s">
        <v>193</v>
      </c>
      <c r="M72" s="26" t="s">
        <v>616</v>
      </c>
      <c r="N72" s="25" t="s">
        <v>205</v>
      </c>
      <c r="O72" s="37" t="s">
        <v>206</v>
      </c>
      <c r="P72" s="35"/>
      <c r="Q72" s="39">
        <f t="shared" si="4"/>
        <v>3</v>
      </c>
    </row>
    <row r="73" ht="42" customHeight="1" spans="1:17">
      <c r="A73" s="25">
        <v>64</v>
      </c>
      <c r="B73" s="26" t="s">
        <v>573</v>
      </c>
      <c r="C73" s="26" t="s">
        <v>617</v>
      </c>
      <c r="D73" s="38" t="s">
        <v>187</v>
      </c>
      <c r="E73" s="26" t="s">
        <v>618</v>
      </c>
      <c r="F73" s="26" t="s">
        <v>619</v>
      </c>
      <c r="G73" s="26" t="s">
        <v>620</v>
      </c>
      <c r="H73" s="26" t="s">
        <v>621</v>
      </c>
      <c r="I73" s="27"/>
      <c r="J73" s="25" t="s">
        <v>192</v>
      </c>
      <c r="K73" s="28"/>
      <c r="L73" s="32" t="s">
        <v>241</v>
      </c>
      <c r="M73" s="26" t="s">
        <v>622</v>
      </c>
      <c r="N73" s="25" t="s">
        <v>205</v>
      </c>
      <c r="O73" s="37" t="s">
        <v>206</v>
      </c>
      <c r="P73" s="35"/>
      <c r="Q73" s="39">
        <f t="shared" si="4"/>
        <v>2</v>
      </c>
    </row>
    <row r="74" ht="42" customHeight="1" spans="1:17">
      <c r="A74" s="25">
        <v>65</v>
      </c>
      <c r="B74" s="26" t="s">
        <v>573</v>
      </c>
      <c r="C74" s="26" t="s">
        <v>623</v>
      </c>
      <c r="D74" s="38" t="s">
        <v>187</v>
      </c>
      <c r="E74" s="26" t="s">
        <v>252</v>
      </c>
      <c r="F74" s="26" t="s">
        <v>624</v>
      </c>
      <c r="G74" s="26" t="s">
        <v>625</v>
      </c>
      <c r="H74" s="26" t="s">
        <v>626</v>
      </c>
      <c r="I74" s="27"/>
      <c r="J74" s="25" t="s">
        <v>214</v>
      </c>
      <c r="K74" s="28"/>
      <c r="L74" s="32" t="s">
        <v>241</v>
      </c>
      <c r="M74" s="26" t="s">
        <v>627</v>
      </c>
      <c r="N74" s="25" t="s">
        <v>205</v>
      </c>
      <c r="O74" s="37" t="s">
        <v>206</v>
      </c>
      <c r="P74" s="35"/>
      <c r="Q74" s="39">
        <f t="shared" si="4"/>
        <v>3</v>
      </c>
    </row>
    <row r="75" ht="42" customHeight="1" spans="1:17">
      <c r="A75" s="25">
        <v>66</v>
      </c>
      <c r="B75" s="26" t="s">
        <v>573</v>
      </c>
      <c r="C75" s="26" t="s">
        <v>628</v>
      </c>
      <c r="D75" s="38" t="s">
        <v>299</v>
      </c>
      <c r="E75" s="26" t="s">
        <v>252</v>
      </c>
      <c r="F75" s="26" t="s">
        <v>629</v>
      </c>
      <c r="G75" s="26" t="s">
        <v>630</v>
      </c>
      <c r="H75" s="26" t="s">
        <v>631</v>
      </c>
      <c r="I75" s="27"/>
      <c r="J75" s="25" t="s">
        <v>214</v>
      </c>
      <c r="K75" s="28"/>
      <c r="L75" s="32" t="s">
        <v>241</v>
      </c>
      <c r="M75" s="26" t="s">
        <v>632</v>
      </c>
      <c r="N75" s="25" t="s">
        <v>205</v>
      </c>
      <c r="O75" s="37" t="s">
        <v>206</v>
      </c>
      <c r="P75" s="35"/>
      <c r="Q75" s="39">
        <f t="shared" si="4"/>
        <v>3</v>
      </c>
    </row>
    <row r="76" ht="42" customHeight="1" spans="1:17">
      <c r="A76" s="25">
        <v>67</v>
      </c>
      <c r="B76" s="26" t="s">
        <v>573</v>
      </c>
      <c r="C76" s="26" t="s">
        <v>633</v>
      </c>
      <c r="D76" s="38" t="s">
        <v>187</v>
      </c>
      <c r="E76" s="26" t="s">
        <v>634</v>
      </c>
      <c r="F76" s="26" t="s">
        <v>635</v>
      </c>
      <c r="G76" s="26" t="s">
        <v>636</v>
      </c>
      <c r="H76" s="26" t="s">
        <v>637</v>
      </c>
      <c r="I76" s="27"/>
      <c r="J76" s="25" t="s">
        <v>214</v>
      </c>
      <c r="K76" s="28"/>
      <c r="L76" s="36" t="s">
        <v>193</v>
      </c>
      <c r="M76" s="26" t="s">
        <v>638</v>
      </c>
      <c r="N76" s="25" t="s">
        <v>205</v>
      </c>
      <c r="O76" s="37" t="s">
        <v>206</v>
      </c>
      <c r="P76" s="35"/>
      <c r="Q76" s="39">
        <f t="shared" si="4"/>
        <v>3</v>
      </c>
    </row>
    <row r="77" ht="42" customHeight="1" spans="1:17">
      <c r="A77" s="25">
        <v>68</v>
      </c>
      <c r="B77" s="26" t="s">
        <v>573</v>
      </c>
      <c r="C77" s="26" t="s">
        <v>639</v>
      </c>
      <c r="D77" s="38" t="s">
        <v>566</v>
      </c>
      <c r="E77" s="26" t="s">
        <v>575</v>
      </c>
      <c r="F77" s="26" t="s">
        <v>640</v>
      </c>
      <c r="G77" s="26" t="s">
        <v>641</v>
      </c>
      <c r="H77" s="26" t="s">
        <v>642</v>
      </c>
      <c r="I77" s="27"/>
      <c r="J77" s="25" t="s">
        <v>192</v>
      </c>
      <c r="K77" s="28"/>
      <c r="L77" s="36" t="s">
        <v>193</v>
      </c>
      <c r="M77" s="26" t="s">
        <v>643</v>
      </c>
      <c r="N77" s="25" t="s">
        <v>205</v>
      </c>
      <c r="O77" s="37" t="s">
        <v>206</v>
      </c>
      <c r="P77" s="35"/>
      <c r="Q77" s="39">
        <f t="shared" si="4"/>
        <v>2</v>
      </c>
    </row>
    <row r="78" ht="42" customHeight="1" spans="1:17">
      <c r="A78" s="25">
        <v>69</v>
      </c>
      <c r="B78" s="26" t="s">
        <v>573</v>
      </c>
      <c r="C78" s="26" t="s">
        <v>644</v>
      </c>
      <c r="D78" s="38" t="s">
        <v>187</v>
      </c>
      <c r="E78" s="26" t="s">
        <v>645</v>
      </c>
      <c r="F78" s="26" t="s">
        <v>646</v>
      </c>
      <c r="G78" s="26" t="s">
        <v>647</v>
      </c>
      <c r="H78" s="26" t="s">
        <v>648</v>
      </c>
      <c r="I78" s="27"/>
      <c r="J78" s="25" t="s">
        <v>214</v>
      </c>
      <c r="K78" s="28"/>
      <c r="L78" s="36" t="s">
        <v>193</v>
      </c>
      <c r="M78" s="26" t="s">
        <v>649</v>
      </c>
      <c r="N78" s="25" t="s">
        <v>363</v>
      </c>
      <c r="O78" s="40" t="s">
        <v>364</v>
      </c>
      <c r="P78" s="35"/>
      <c r="Q78" s="39">
        <f t="shared" si="4"/>
        <v>3</v>
      </c>
    </row>
    <row r="79" ht="19.5" customHeight="1" spans="1:17">
      <c r="A79" s="3" t="s">
        <v>650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ht="42" customHeight="1" spans="1:17">
      <c r="A80" s="25">
        <v>70</v>
      </c>
      <c r="B80" s="26" t="s">
        <v>651</v>
      </c>
      <c r="C80" s="26" t="s">
        <v>652</v>
      </c>
      <c r="D80" s="38" t="s">
        <v>319</v>
      </c>
      <c r="E80" s="26" t="s">
        <v>653</v>
      </c>
      <c r="F80" s="26" t="s">
        <v>654</v>
      </c>
      <c r="G80" s="26" t="s">
        <v>655</v>
      </c>
      <c r="H80" s="26" t="s">
        <v>656</v>
      </c>
      <c r="I80" s="27"/>
      <c r="J80" s="25" t="s">
        <v>203</v>
      </c>
      <c r="K80" s="28"/>
      <c r="L80" s="29" t="s">
        <v>256</v>
      </c>
      <c r="M80" s="26" t="s">
        <v>657</v>
      </c>
      <c r="N80" s="25" t="s">
        <v>258</v>
      </c>
      <c r="O80" s="33" t="s">
        <v>259</v>
      </c>
      <c r="P80" s="26" t="s">
        <v>658</v>
      </c>
      <c r="Q80" s="39">
        <f t="shared" ref="Q80:Q94" si="5">LEN(J80)-LEN(SUBSTITUTE(J80,"★",""))</f>
        <v>4</v>
      </c>
    </row>
    <row r="81" ht="42" customHeight="1" spans="1:17">
      <c r="A81" s="25">
        <v>71</v>
      </c>
      <c r="B81" s="26" t="s">
        <v>651</v>
      </c>
      <c r="C81" s="26" t="s">
        <v>659</v>
      </c>
      <c r="D81" s="38" t="s">
        <v>299</v>
      </c>
      <c r="E81" s="26" t="s">
        <v>660</v>
      </c>
      <c r="F81" s="26" t="s">
        <v>661</v>
      </c>
      <c r="G81" s="26" t="s">
        <v>662</v>
      </c>
      <c r="H81" s="26" t="s">
        <v>663</v>
      </c>
      <c r="I81" s="27"/>
      <c r="J81" s="25" t="s">
        <v>203</v>
      </c>
      <c r="K81" s="28"/>
      <c r="L81" s="32" t="s">
        <v>241</v>
      </c>
      <c r="M81" s="26" t="s">
        <v>664</v>
      </c>
      <c r="N81" s="25" t="s">
        <v>286</v>
      </c>
      <c r="O81" s="31" t="s">
        <v>287</v>
      </c>
      <c r="P81" s="26" t="s">
        <v>665</v>
      </c>
      <c r="Q81" s="39">
        <f t="shared" si="5"/>
        <v>4</v>
      </c>
    </row>
    <row r="82" ht="42" customHeight="1" spans="1:17">
      <c r="A82" s="25">
        <v>72</v>
      </c>
      <c r="B82" s="26" t="s">
        <v>651</v>
      </c>
      <c r="C82" s="26" t="s">
        <v>666</v>
      </c>
      <c r="D82" s="38" t="s">
        <v>299</v>
      </c>
      <c r="E82" s="26" t="s">
        <v>667</v>
      </c>
      <c r="F82" s="26" t="s">
        <v>668</v>
      </c>
      <c r="G82" s="26" t="s">
        <v>669</v>
      </c>
      <c r="H82" s="26" t="s">
        <v>670</v>
      </c>
      <c r="I82" s="27"/>
      <c r="J82" s="25" t="s">
        <v>203</v>
      </c>
      <c r="K82" s="28"/>
      <c r="L82" s="29" t="s">
        <v>256</v>
      </c>
      <c r="M82" s="26" t="s">
        <v>671</v>
      </c>
      <c r="N82" s="25" t="s">
        <v>286</v>
      </c>
      <c r="O82" s="30" t="s">
        <v>317</v>
      </c>
      <c r="P82" s="26" t="s">
        <v>672</v>
      </c>
      <c r="Q82" s="39">
        <f t="shared" si="5"/>
        <v>4</v>
      </c>
    </row>
    <row r="83" ht="42" customHeight="1" spans="1:17">
      <c r="A83" s="25">
        <v>73</v>
      </c>
      <c r="B83" s="26" t="s">
        <v>651</v>
      </c>
      <c r="C83" s="26" t="s">
        <v>673</v>
      </c>
      <c r="D83" s="38" t="s">
        <v>299</v>
      </c>
      <c r="E83" s="26" t="s">
        <v>674</v>
      </c>
      <c r="F83" s="26" t="s">
        <v>675</v>
      </c>
      <c r="G83" s="26" t="s">
        <v>676</v>
      </c>
      <c r="H83" s="26" t="s">
        <v>677</v>
      </c>
      <c r="I83" s="27"/>
      <c r="J83" s="25" t="s">
        <v>214</v>
      </c>
      <c r="K83" s="28"/>
      <c r="L83" s="32" t="s">
        <v>241</v>
      </c>
      <c r="M83" s="26" t="s">
        <v>678</v>
      </c>
      <c r="N83" s="25" t="s">
        <v>286</v>
      </c>
      <c r="O83" s="31" t="s">
        <v>287</v>
      </c>
      <c r="P83" s="35"/>
      <c r="Q83" s="39">
        <f t="shared" si="5"/>
        <v>3</v>
      </c>
    </row>
    <row r="84" ht="42" customHeight="1" spans="1:17">
      <c r="A84" s="25">
        <v>74</v>
      </c>
      <c r="B84" s="26" t="s">
        <v>651</v>
      </c>
      <c r="C84" s="26" t="s">
        <v>679</v>
      </c>
      <c r="D84" s="38" t="s">
        <v>299</v>
      </c>
      <c r="E84" s="26" t="s">
        <v>680</v>
      </c>
      <c r="F84" s="26" t="s">
        <v>681</v>
      </c>
      <c r="G84" s="26" t="s">
        <v>682</v>
      </c>
      <c r="H84" s="26" t="s">
        <v>683</v>
      </c>
      <c r="I84" s="27"/>
      <c r="J84" s="25" t="s">
        <v>233</v>
      </c>
      <c r="K84" s="28"/>
      <c r="L84" s="32" t="s">
        <v>241</v>
      </c>
      <c r="M84" s="26" t="s">
        <v>684</v>
      </c>
      <c r="N84" s="25" t="s">
        <v>286</v>
      </c>
      <c r="O84" s="31" t="s">
        <v>287</v>
      </c>
      <c r="P84" s="35"/>
      <c r="Q84" s="39">
        <f t="shared" si="5"/>
        <v>5</v>
      </c>
    </row>
    <row r="85" ht="42" customHeight="1" spans="1:17">
      <c r="A85" s="25">
        <v>75</v>
      </c>
      <c r="B85" s="26" t="s">
        <v>651</v>
      </c>
      <c r="C85" s="26" t="s">
        <v>685</v>
      </c>
      <c r="D85" s="38" t="s">
        <v>187</v>
      </c>
      <c r="E85" s="26" t="s">
        <v>674</v>
      </c>
      <c r="F85" s="26" t="s">
        <v>686</v>
      </c>
      <c r="G85" s="26" t="s">
        <v>687</v>
      </c>
      <c r="H85" s="26" t="s">
        <v>688</v>
      </c>
      <c r="I85" s="27"/>
      <c r="J85" s="25" t="s">
        <v>214</v>
      </c>
      <c r="K85" s="28"/>
      <c r="L85" s="36" t="s">
        <v>193</v>
      </c>
      <c r="M85" s="26" t="s">
        <v>689</v>
      </c>
      <c r="N85" s="25" t="s">
        <v>205</v>
      </c>
      <c r="O85" s="37" t="s">
        <v>206</v>
      </c>
      <c r="P85" s="35"/>
      <c r="Q85" s="39">
        <f t="shared" si="5"/>
        <v>3</v>
      </c>
    </row>
    <row r="86" ht="42" customHeight="1" spans="1:17">
      <c r="A86" s="25">
        <v>76</v>
      </c>
      <c r="B86" s="26" t="s">
        <v>651</v>
      </c>
      <c r="C86" s="26" t="s">
        <v>690</v>
      </c>
      <c r="D86" s="38" t="s">
        <v>187</v>
      </c>
      <c r="E86" s="26" t="s">
        <v>674</v>
      </c>
      <c r="F86" s="26" t="s">
        <v>691</v>
      </c>
      <c r="G86" s="26" t="s">
        <v>692</v>
      </c>
      <c r="H86" s="26" t="s">
        <v>693</v>
      </c>
      <c r="I86" s="27"/>
      <c r="J86" s="25" t="s">
        <v>192</v>
      </c>
      <c r="K86" s="28"/>
      <c r="L86" s="32" t="s">
        <v>241</v>
      </c>
      <c r="M86" s="26" t="s">
        <v>694</v>
      </c>
      <c r="N86" s="25" t="s">
        <v>205</v>
      </c>
      <c r="O86" s="37" t="s">
        <v>206</v>
      </c>
      <c r="P86" s="26" t="s">
        <v>695</v>
      </c>
      <c r="Q86" s="39">
        <f t="shared" si="5"/>
        <v>2</v>
      </c>
    </row>
    <row r="87" ht="42" customHeight="1" spans="1:17">
      <c r="A87" s="25">
        <v>77</v>
      </c>
      <c r="B87" s="26" t="s">
        <v>651</v>
      </c>
      <c r="C87" s="26" t="s">
        <v>696</v>
      </c>
      <c r="D87" s="38" t="s">
        <v>319</v>
      </c>
      <c r="E87" s="26" t="s">
        <v>697</v>
      </c>
      <c r="F87" s="26" t="s">
        <v>698</v>
      </c>
      <c r="G87" s="26" t="s">
        <v>699</v>
      </c>
      <c r="H87" s="26" t="s">
        <v>700</v>
      </c>
      <c r="I87" s="27"/>
      <c r="J87" s="25" t="s">
        <v>233</v>
      </c>
      <c r="K87" s="28"/>
      <c r="L87" s="29" t="s">
        <v>256</v>
      </c>
      <c r="M87" s="26" t="s">
        <v>701</v>
      </c>
      <c r="N87" s="25" t="s">
        <v>286</v>
      </c>
      <c r="O87" s="31" t="s">
        <v>287</v>
      </c>
      <c r="P87" s="26" t="s">
        <v>702</v>
      </c>
      <c r="Q87" s="39">
        <f t="shared" si="5"/>
        <v>5</v>
      </c>
    </row>
    <row r="88" ht="42" customHeight="1" spans="1:17">
      <c r="A88" s="25">
        <v>78</v>
      </c>
      <c r="B88" s="26" t="s">
        <v>651</v>
      </c>
      <c r="C88" s="26" t="s">
        <v>703</v>
      </c>
      <c r="D88" s="38" t="s">
        <v>209</v>
      </c>
      <c r="E88" s="26" t="s">
        <v>704</v>
      </c>
      <c r="F88" s="26" t="s">
        <v>705</v>
      </c>
      <c r="G88" s="26" t="s">
        <v>706</v>
      </c>
      <c r="H88" s="26" t="s">
        <v>707</v>
      </c>
      <c r="I88" s="27"/>
      <c r="J88" s="25" t="s">
        <v>214</v>
      </c>
      <c r="K88" s="28"/>
      <c r="L88" s="36" t="s">
        <v>193</v>
      </c>
      <c r="M88" s="26" t="s">
        <v>708</v>
      </c>
      <c r="N88" s="25" t="s">
        <v>205</v>
      </c>
      <c r="O88" s="37" t="s">
        <v>206</v>
      </c>
      <c r="P88" s="35"/>
      <c r="Q88" s="39">
        <f t="shared" si="5"/>
        <v>3</v>
      </c>
    </row>
    <row r="89" ht="42" customHeight="1" spans="1:17">
      <c r="A89" s="25">
        <v>79</v>
      </c>
      <c r="B89" s="26" t="s">
        <v>651</v>
      </c>
      <c r="C89" s="26" t="s">
        <v>709</v>
      </c>
      <c r="D89" s="38" t="s">
        <v>209</v>
      </c>
      <c r="E89" s="26" t="s">
        <v>542</v>
      </c>
      <c r="F89" s="26" t="s">
        <v>710</v>
      </c>
      <c r="G89" s="26" t="s">
        <v>711</v>
      </c>
      <c r="H89" s="26" t="s">
        <v>712</v>
      </c>
      <c r="I89" s="27"/>
      <c r="J89" s="25" t="s">
        <v>214</v>
      </c>
      <c r="K89" s="28"/>
      <c r="L89" s="36" t="s">
        <v>193</v>
      </c>
      <c r="M89" s="26" t="s">
        <v>713</v>
      </c>
      <c r="N89" s="25" t="s">
        <v>205</v>
      </c>
      <c r="O89" s="37" t="s">
        <v>206</v>
      </c>
      <c r="P89" s="35"/>
      <c r="Q89" s="39">
        <f t="shared" si="5"/>
        <v>3</v>
      </c>
    </row>
    <row r="90" ht="42" customHeight="1" spans="1:17">
      <c r="A90" s="25">
        <v>80</v>
      </c>
      <c r="B90" s="26" t="s">
        <v>651</v>
      </c>
      <c r="C90" s="26" t="s">
        <v>714</v>
      </c>
      <c r="D90" s="38" t="s">
        <v>198</v>
      </c>
      <c r="E90" s="26" t="s">
        <v>715</v>
      </c>
      <c r="F90" s="26" t="s">
        <v>716</v>
      </c>
      <c r="G90" s="35" t="s">
        <v>717</v>
      </c>
      <c r="H90" s="26" t="s">
        <v>718</v>
      </c>
      <c r="I90" s="27"/>
      <c r="J90" s="25" t="s">
        <v>214</v>
      </c>
      <c r="K90" s="28"/>
      <c r="L90" s="36" t="s">
        <v>193</v>
      </c>
      <c r="M90" s="26" t="s">
        <v>719</v>
      </c>
      <c r="N90" s="25" t="s">
        <v>205</v>
      </c>
      <c r="O90" s="37" t="s">
        <v>206</v>
      </c>
      <c r="P90" s="35"/>
      <c r="Q90" s="39">
        <f t="shared" si="5"/>
        <v>3</v>
      </c>
    </row>
    <row r="91" ht="42" customHeight="1" spans="1:17">
      <c r="A91" s="25">
        <v>81</v>
      </c>
      <c r="B91" s="26" t="s">
        <v>651</v>
      </c>
      <c r="C91" s="26" t="s">
        <v>720</v>
      </c>
      <c r="D91" s="38" t="s">
        <v>198</v>
      </c>
      <c r="E91" s="26" t="s">
        <v>721</v>
      </c>
      <c r="F91" s="26" t="s">
        <v>722</v>
      </c>
      <c r="G91" s="26" t="s">
        <v>723</v>
      </c>
      <c r="H91" s="26" t="s">
        <v>724</v>
      </c>
      <c r="I91" s="27"/>
      <c r="J91" s="25" t="s">
        <v>214</v>
      </c>
      <c r="K91" s="28"/>
      <c r="L91" s="36" t="s">
        <v>193</v>
      </c>
      <c r="M91" s="26" t="s">
        <v>725</v>
      </c>
      <c r="N91" s="25" t="s">
        <v>286</v>
      </c>
      <c r="O91" s="30" t="s">
        <v>317</v>
      </c>
      <c r="P91" s="35"/>
      <c r="Q91" s="39">
        <f t="shared" si="5"/>
        <v>3</v>
      </c>
    </row>
    <row r="92" ht="42" customHeight="1" spans="1:17">
      <c r="A92" s="25">
        <v>82</v>
      </c>
      <c r="B92" s="26" t="s">
        <v>651</v>
      </c>
      <c r="C92" s="26" t="s">
        <v>726</v>
      </c>
      <c r="D92" s="38" t="s">
        <v>187</v>
      </c>
      <c r="E92" s="26" t="s">
        <v>727</v>
      </c>
      <c r="F92" s="26" t="s">
        <v>728</v>
      </c>
      <c r="G92" s="26" t="s">
        <v>729</v>
      </c>
      <c r="H92" s="26" t="s">
        <v>730</v>
      </c>
      <c r="I92" s="27"/>
      <c r="J92" s="25" t="s">
        <v>214</v>
      </c>
      <c r="K92" s="28"/>
      <c r="L92" s="36" t="s">
        <v>193</v>
      </c>
      <c r="M92" s="26" t="s">
        <v>731</v>
      </c>
      <c r="N92" s="25" t="s">
        <v>195</v>
      </c>
      <c r="O92" s="34" t="s">
        <v>196</v>
      </c>
      <c r="P92" s="35"/>
      <c r="Q92" s="39">
        <f t="shared" si="5"/>
        <v>3</v>
      </c>
    </row>
    <row r="93" ht="42" customHeight="1" spans="1:17">
      <c r="A93" s="25">
        <v>83</v>
      </c>
      <c r="B93" s="26" t="s">
        <v>651</v>
      </c>
      <c r="C93" s="26" t="s">
        <v>732</v>
      </c>
      <c r="D93" s="38" t="s">
        <v>187</v>
      </c>
      <c r="E93" s="26" t="s">
        <v>733</v>
      </c>
      <c r="F93" s="26" t="s">
        <v>734</v>
      </c>
      <c r="G93" s="26" t="s">
        <v>735</v>
      </c>
      <c r="H93" s="26" t="s">
        <v>736</v>
      </c>
      <c r="I93" s="27"/>
      <c r="J93" s="25" t="s">
        <v>192</v>
      </c>
      <c r="K93" s="28"/>
      <c r="L93" s="32" t="s">
        <v>241</v>
      </c>
      <c r="M93" s="26" t="s">
        <v>737</v>
      </c>
      <c r="N93" s="25" t="s">
        <v>205</v>
      </c>
      <c r="O93" s="37" t="s">
        <v>206</v>
      </c>
      <c r="P93" s="26" t="s">
        <v>738</v>
      </c>
      <c r="Q93" s="39">
        <f t="shared" si="5"/>
        <v>2</v>
      </c>
    </row>
    <row r="94" ht="42" customHeight="1" spans="1:17">
      <c r="A94" s="25">
        <v>84</v>
      </c>
      <c r="B94" s="26" t="s">
        <v>651</v>
      </c>
      <c r="C94" s="26" t="s">
        <v>739</v>
      </c>
      <c r="D94" s="38" t="s">
        <v>209</v>
      </c>
      <c r="E94" s="26" t="s">
        <v>740</v>
      </c>
      <c r="F94" s="26" t="s">
        <v>741</v>
      </c>
      <c r="G94" s="26" t="s">
        <v>742</v>
      </c>
      <c r="H94" s="26" t="s">
        <v>743</v>
      </c>
      <c r="I94" s="27"/>
      <c r="J94" s="25" t="s">
        <v>192</v>
      </c>
      <c r="K94" s="28"/>
      <c r="L94" s="36" t="s">
        <v>193</v>
      </c>
      <c r="M94" s="26" t="s">
        <v>744</v>
      </c>
      <c r="N94" s="25" t="s">
        <v>205</v>
      </c>
      <c r="O94" s="37" t="s">
        <v>206</v>
      </c>
      <c r="P94" s="26" t="s">
        <v>745</v>
      </c>
      <c r="Q94" s="39">
        <f t="shared" si="5"/>
        <v>2</v>
      </c>
    </row>
    <row r="95" ht="19.5" customHeight="1" spans="1:17">
      <c r="A95" s="3" t="s">
        <v>746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ht="42" customHeight="1" spans="1:17">
      <c r="A96" s="25">
        <v>85</v>
      </c>
      <c r="B96" s="26" t="s">
        <v>747</v>
      </c>
      <c r="C96" s="26" t="s">
        <v>748</v>
      </c>
      <c r="D96" s="38" t="s">
        <v>319</v>
      </c>
      <c r="E96" s="26" t="s">
        <v>749</v>
      </c>
      <c r="F96" s="26" t="s">
        <v>750</v>
      </c>
      <c r="G96" s="26" t="s">
        <v>751</v>
      </c>
      <c r="H96" s="26" t="s">
        <v>752</v>
      </c>
      <c r="I96" s="27"/>
      <c r="J96" s="25" t="s">
        <v>233</v>
      </c>
      <c r="K96" s="28"/>
      <c r="L96" s="32" t="s">
        <v>241</v>
      </c>
      <c r="M96" s="26" t="s">
        <v>753</v>
      </c>
      <c r="N96" s="25" t="s">
        <v>286</v>
      </c>
      <c r="O96" s="31" t="s">
        <v>287</v>
      </c>
      <c r="P96" s="26" t="s">
        <v>754</v>
      </c>
      <c r="Q96" s="39">
        <f t="shared" ref="Q96:Q108" si="6">LEN(J96)-LEN(SUBSTITUTE(J96,"★",""))</f>
        <v>5</v>
      </c>
    </row>
    <row r="97" ht="42" customHeight="1" spans="1:17">
      <c r="A97" s="25">
        <v>86</v>
      </c>
      <c r="B97" s="26" t="s">
        <v>747</v>
      </c>
      <c r="C97" s="26" t="s">
        <v>755</v>
      </c>
      <c r="D97" s="38" t="s">
        <v>299</v>
      </c>
      <c r="E97" s="26" t="s">
        <v>756</v>
      </c>
      <c r="F97" s="26" t="s">
        <v>757</v>
      </c>
      <c r="G97" s="26" t="s">
        <v>758</v>
      </c>
      <c r="H97" s="26" t="s">
        <v>759</v>
      </c>
      <c r="I97" s="27"/>
      <c r="J97" s="25" t="s">
        <v>233</v>
      </c>
      <c r="K97" s="28"/>
      <c r="L97" s="29" t="s">
        <v>256</v>
      </c>
      <c r="M97" s="26" t="s">
        <v>760</v>
      </c>
      <c r="N97" s="25" t="s">
        <v>286</v>
      </c>
      <c r="O97" s="31" t="s">
        <v>287</v>
      </c>
      <c r="P97" s="26" t="s">
        <v>761</v>
      </c>
      <c r="Q97" s="39">
        <f t="shared" si="6"/>
        <v>5</v>
      </c>
    </row>
    <row r="98" ht="42" customHeight="1" spans="1:17">
      <c r="A98" s="25">
        <v>87</v>
      </c>
      <c r="B98" s="26" t="s">
        <v>747</v>
      </c>
      <c r="C98" s="26" t="s">
        <v>762</v>
      </c>
      <c r="D98" s="38" t="s">
        <v>319</v>
      </c>
      <c r="E98" s="26" t="s">
        <v>763</v>
      </c>
      <c r="F98" s="26" t="s">
        <v>764</v>
      </c>
      <c r="G98" s="26" t="s">
        <v>765</v>
      </c>
      <c r="H98" s="26" t="s">
        <v>766</v>
      </c>
      <c r="I98" s="27"/>
      <c r="J98" s="25" t="s">
        <v>203</v>
      </c>
      <c r="K98" s="28"/>
      <c r="L98" s="29" t="s">
        <v>256</v>
      </c>
      <c r="M98" s="26" t="s">
        <v>767</v>
      </c>
      <c r="N98" s="25" t="s">
        <v>286</v>
      </c>
      <c r="O98" s="30" t="s">
        <v>317</v>
      </c>
      <c r="P98" s="26" t="s">
        <v>768</v>
      </c>
      <c r="Q98" s="39">
        <f t="shared" si="6"/>
        <v>4</v>
      </c>
    </row>
    <row r="99" ht="42" customHeight="1" spans="1:17">
      <c r="A99" s="25">
        <v>88</v>
      </c>
      <c r="B99" s="26" t="s">
        <v>747</v>
      </c>
      <c r="C99" s="26" t="s">
        <v>769</v>
      </c>
      <c r="D99" s="38" t="s">
        <v>770</v>
      </c>
      <c r="E99" s="26" t="s">
        <v>771</v>
      </c>
      <c r="F99" s="26" t="s">
        <v>772</v>
      </c>
      <c r="G99" s="26" t="s">
        <v>773</v>
      </c>
      <c r="H99" s="26" t="s">
        <v>774</v>
      </c>
      <c r="I99" s="27"/>
      <c r="J99" s="25" t="s">
        <v>233</v>
      </c>
      <c r="K99" s="28"/>
      <c r="L99" s="29" t="s">
        <v>256</v>
      </c>
      <c r="M99" s="26" t="s">
        <v>775</v>
      </c>
      <c r="N99" s="25" t="s">
        <v>286</v>
      </c>
      <c r="O99" s="30" t="s">
        <v>317</v>
      </c>
      <c r="P99" s="35"/>
      <c r="Q99" s="39">
        <f t="shared" si="6"/>
        <v>5</v>
      </c>
    </row>
    <row r="100" ht="42" customHeight="1" spans="1:17">
      <c r="A100" s="25">
        <v>89</v>
      </c>
      <c r="B100" s="26" t="s">
        <v>747</v>
      </c>
      <c r="C100" s="26" t="s">
        <v>776</v>
      </c>
      <c r="D100" s="38" t="s">
        <v>299</v>
      </c>
      <c r="E100" s="26" t="s">
        <v>777</v>
      </c>
      <c r="F100" s="26" t="s">
        <v>778</v>
      </c>
      <c r="G100" s="26" t="s">
        <v>779</v>
      </c>
      <c r="H100" s="26" t="s">
        <v>780</v>
      </c>
      <c r="I100" s="27"/>
      <c r="J100" s="25" t="s">
        <v>203</v>
      </c>
      <c r="K100" s="28"/>
      <c r="L100" s="32" t="s">
        <v>241</v>
      </c>
      <c r="M100" s="26" t="s">
        <v>781</v>
      </c>
      <c r="N100" s="25" t="s">
        <v>286</v>
      </c>
      <c r="O100" s="31" t="s">
        <v>287</v>
      </c>
      <c r="P100" s="35"/>
      <c r="Q100" s="39">
        <f t="shared" si="6"/>
        <v>4</v>
      </c>
    </row>
    <row r="101" ht="42" customHeight="1" spans="1:17">
      <c r="A101" s="25">
        <v>90</v>
      </c>
      <c r="B101" s="26" t="s">
        <v>747</v>
      </c>
      <c r="C101" s="26" t="s">
        <v>782</v>
      </c>
      <c r="D101" s="38" t="s">
        <v>319</v>
      </c>
      <c r="E101" s="26" t="s">
        <v>777</v>
      </c>
      <c r="F101" s="26" t="s">
        <v>783</v>
      </c>
      <c r="G101" s="26" t="s">
        <v>784</v>
      </c>
      <c r="H101" s="26" t="s">
        <v>785</v>
      </c>
      <c r="I101" s="27"/>
      <c r="J101" s="25" t="s">
        <v>203</v>
      </c>
      <c r="K101" s="28"/>
      <c r="L101" s="29" t="s">
        <v>256</v>
      </c>
      <c r="M101" s="26" t="s">
        <v>786</v>
      </c>
      <c r="N101" s="25" t="s">
        <v>286</v>
      </c>
      <c r="O101" s="30" t="s">
        <v>317</v>
      </c>
      <c r="P101" s="35"/>
      <c r="Q101" s="39">
        <f t="shared" si="6"/>
        <v>4</v>
      </c>
    </row>
    <row r="102" ht="42" customHeight="1" spans="1:17">
      <c r="A102" s="25">
        <v>91</v>
      </c>
      <c r="B102" s="26" t="s">
        <v>747</v>
      </c>
      <c r="C102" s="26" t="s">
        <v>787</v>
      </c>
      <c r="D102" s="38" t="s">
        <v>299</v>
      </c>
      <c r="E102" s="26" t="s">
        <v>788</v>
      </c>
      <c r="F102" s="26" t="s">
        <v>789</v>
      </c>
      <c r="G102" s="26" t="s">
        <v>790</v>
      </c>
      <c r="H102" s="26" t="s">
        <v>791</v>
      </c>
      <c r="I102" s="27"/>
      <c r="J102" s="25" t="s">
        <v>214</v>
      </c>
      <c r="K102" s="28"/>
      <c r="L102" s="29" t="s">
        <v>256</v>
      </c>
      <c r="M102" s="26" t="s">
        <v>792</v>
      </c>
      <c r="N102" s="25" t="s">
        <v>286</v>
      </c>
      <c r="O102" s="30" t="s">
        <v>317</v>
      </c>
      <c r="P102" s="26" t="s">
        <v>793</v>
      </c>
      <c r="Q102" s="39">
        <f t="shared" si="6"/>
        <v>3</v>
      </c>
    </row>
    <row r="103" ht="42" customHeight="1" spans="1:17">
      <c r="A103" s="25">
        <v>92</v>
      </c>
      <c r="B103" s="26" t="s">
        <v>747</v>
      </c>
      <c r="C103" s="26" t="s">
        <v>794</v>
      </c>
      <c r="D103" s="38" t="s">
        <v>319</v>
      </c>
      <c r="E103" s="26" t="s">
        <v>795</v>
      </c>
      <c r="F103" s="26" t="s">
        <v>796</v>
      </c>
      <c r="G103" s="26" t="s">
        <v>797</v>
      </c>
      <c r="H103" s="26" t="s">
        <v>798</v>
      </c>
      <c r="I103" s="27"/>
      <c r="J103" s="25" t="s">
        <v>203</v>
      </c>
      <c r="K103" s="28"/>
      <c r="L103" s="29" t="s">
        <v>256</v>
      </c>
      <c r="M103" s="26" t="s">
        <v>799</v>
      </c>
      <c r="N103" s="25" t="s">
        <v>286</v>
      </c>
      <c r="O103" s="30" t="s">
        <v>317</v>
      </c>
      <c r="P103" s="35"/>
      <c r="Q103" s="39">
        <f t="shared" si="6"/>
        <v>4</v>
      </c>
    </row>
    <row r="104" ht="42" customHeight="1" spans="1:17">
      <c r="A104" s="25">
        <v>93</v>
      </c>
      <c r="B104" s="26" t="s">
        <v>747</v>
      </c>
      <c r="C104" s="26" t="s">
        <v>800</v>
      </c>
      <c r="D104" s="38" t="s">
        <v>209</v>
      </c>
      <c r="E104" s="26" t="s">
        <v>801</v>
      </c>
      <c r="F104" s="26" t="s">
        <v>802</v>
      </c>
      <c r="G104" s="26" t="s">
        <v>803</v>
      </c>
      <c r="H104" s="26" t="s">
        <v>804</v>
      </c>
      <c r="I104" s="27"/>
      <c r="J104" s="25" t="s">
        <v>192</v>
      </c>
      <c r="K104" s="28"/>
      <c r="L104" s="29" t="s">
        <v>256</v>
      </c>
      <c r="M104" s="26" t="s">
        <v>805</v>
      </c>
      <c r="N104" s="25" t="s">
        <v>258</v>
      </c>
      <c r="O104" s="33" t="s">
        <v>259</v>
      </c>
      <c r="P104" s="35"/>
      <c r="Q104" s="39">
        <f t="shared" si="6"/>
        <v>2</v>
      </c>
    </row>
    <row r="105" ht="42" customHeight="1" spans="1:17">
      <c r="A105" s="25">
        <v>94</v>
      </c>
      <c r="B105" s="26" t="s">
        <v>747</v>
      </c>
      <c r="C105" s="26" t="s">
        <v>806</v>
      </c>
      <c r="D105" s="38" t="s">
        <v>198</v>
      </c>
      <c r="E105" s="26" t="s">
        <v>807</v>
      </c>
      <c r="F105" s="26" t="s">
        <v>808</v>
      </c>
      <c r="G105" s="26" t="s">
        <v>809</v>
      </c>
      <c r="H105" s="26" t="s">
        <v>810</v>
      </c>
      <c r="I105" s="27"/>
      <c r="J105" s="25" t="s">
        <v>214</v>
      </c>
      <c r="K105" s="28"/>
      <c r="L105" s="32" t="s">
        <v>241</v>
      </c>
      <c r="M105" s="26" t="s">
        <v>811</v>
      </c>
      <c r="N105" s="25" t="s">
        <v>286</v>
      </c>
      <c r="O105" s="30" t="s">
        <v>317</v>
      </c>
      <c r="P105" s="35"/>
      <c r="Q105" s="39">
        <f t="shared" si="6"/>
        <v>3</v>
      </c>
    </row>
    <row r="106" ht="42" customHeight="1" spans="1:17">
      <c r="A106" s="25">
        <v>95</v>
      </c>
      <c r="B106" s="26" t="s">
        <v>747</v>
      </c>
      <c r="C106" s="26" t="s">
        <v>812</v>
      </c>
      <c r="D106" s="38" t="s">
        <v>299</v>
      </c>
      <c r="E106" s="26" t="s">
        <v>813</v>
      </c>
      <c r="F106" s="26" t="s">
        <v>814</v>
      </c>
      <c r="G106" s="26" t="s">
        <v>815</v>
      </c>
      <c r="H106" s="26" t="s">
        <v>816</v>
      </c>
      <c r="I106" s="27"/>
      <c r="J106" s="25" t="s">
        <v>233</v>
      </c>
      <c r="K106" s="28"/>
      <c r="L106" s="32" t="s">
        <v>241</v>
      </c>
      <c r="M106" s="26" t="s">
        <v>817</v>
      </c>
      <c r="N106" s="25" t="s">
        <v>286</v>
      </c>
      <c r="O106" s="31" t="s">
        <v>287</v>
      </c>
      <c r="P106" s="26" t="s">
        <v>818</v>
      </c>
      <c r="Q106" s="39">
        <f t="shared" si="6"/>
        <v>5</v>
      </c>
    </row>
    <row r="107" ht="42" customHeight="1" spans="1:17">
      <c r="A107" s="25">
        <v>96</v>
      </c>
      <c r="B107" s="26" t="s">
        <v>747</v>
      </c>
      <c r="C107" s="26" t="s">
        <v>819</v>
      </c>
      <c r="D107" s="38" t="s">
        <v>299</v>
      </c>
      <c r="E107" s="26" t="s">
        <v>777</v>
      </c>
      <c r="F107" s="26" t="s">
        <v>820</v>
      </c>
      <c r="G107" s="26" t="s">
        <v>821</v>
      </c>
      <c r="H107" s="26" t="s">
        <v>822</v>
      </c>
      <c r="I107" s="27"/>
      <c r="J107" s="25" t="s">
        <v>214</v>
      </c>
      <c r="K107" s="28"/>
      <c r="L107" s="32" t="s">
        <v>241</v>
      </c>
      <c r="M107" s="26" t="s">
        <v>823</v>
      </c>
      <c r="N107" s="25" t="s">
        <v>286</v>
      </c>
      <c r="O107" s="30" t="s">
        <v>317</v>
      </c>
      <c r="P107" s="35"/>
      <c r="Q107" s="39">
        <f t="shared" si="6"/>
        <v>3</v>
      </c>
    </row>
    <row r="108" ht="42" customHeight="1" spans="1:17">
      <c r="A108" s="25">
        <v>97</v>
      </c>
      <c r="B108" s="26" t="s">
        <v>747</v>
      </c>
      <c r="C108" s="26" t="s">
        <v>824</v>
      </c>
      <c r="D108" s="38" t="s">
        <v>825</v>
      </c>
      <c r="E108" s="26" t="s">
        <v>826</v>
      </c>
      <c r="F108" s="26" t="s">
        <v>827</v>
      </c>
      <c r="G108" s="26" t="s">
        <v>828</v>
      </c>
      <c r="H108" s="26" t="s">
        <v>829</v>
      </c>
      <c r="I108" s="27"/>
      <c r="J108" s="25" t="s">
        <v>192</v>
      </c>
      <c r="K108" s="28"/>
      <c r="L108" s="32" t="s">
        <v>241</v>
      </c>
      <c r="M108" s="26" t="s">
        <v>830</v>
      </c>
      <c r="N108" s="25" t="s">
        <v>205</v>
      </c>
      <c r="O108" s="37" t="s">
        <v>206</v>
      </c>
      <c r="P108" s="35"/>
      <c r="Q108" s="39">
        <f t="shared" si="6"/>
        <v>2</v>
      </c>
    </row>
    <row r="109" ht="19.5" customHeight="1" spans="1:17">
      <c r="A109" s="3" t="s">
        <v>831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ht="42" customHeight="1" spans="1:17">
      <c r="A110" s="25">
        <v>98</v>
      </c>
      <c r="B110" s="26" t="s">
        <v>832</v>
      </c>
      <c r="C110" s="26" t="s">
        <v>833</v>
      </c>
      <c r="D110" s="38" t="s">
        <v>299</v>
      </c>
      <c r="E110" s="26" t="s">
        <v>834</v>
      </c>
      <c r="F110" s="26" t="s">
        <v>835</v>
      </c>
      <c r="G110" s="26" t="s">
        <v>836</v>
      </c>
      <c r="H110" s="26" t="s">
        <v>837</v>
      </c>
      <c r="I110" s="27"/>
      <c r="J110" s="25" t="s">
        <v>233</v>
      </c>
      <c r="K110" s="28"/>
      <c r="L110" s="32" t="s">
        <v>241</v>
      </c>
      <c r="M110" s="26" t="s">
        <v>838</v>
      </c>
      <c r="N110" s="25" t="s">
        <v>286</v>
      </c>
      <c r="O110" s="31" t="s">
        <v>287</v>
      </c>
      <c r="P110" s="26" t="s">
        <v>839</v>
      </c>
      <c r="Q110" s="39">
        <f t="shared" ref="Q110:Q124" si="7">LEN(J110)-LEN(SUBSTITUTE(J110,"★",""))</f>
        <v>5</v>
      </c>
    </row>
    <row r="111" ht="42" customHeight="1" spans="1:17">
      <c r="A111" s="25">
        <v>99</v>
      </c>
      <c r="B111" s="26" t="s">
        <v>832</v>
      </c>
      <c r="C111" s="26" t="s">
        <v>840</v>
      </c>
      <c r="D111" s="38" t="s">
        <v>299</v>
      </c>
      <c r="E111" s="26" t="s">
        <v>841</v>
      </c>
      <c r="F111" s="26" t="s">
        <v>842</v>
      </c>
      <c r="G111" s="26" t="s">
        <v>843</v>
      </c>
      <c r="H111" s="26" t="s">
        <v>844</v>
      </c>
      <c r="I111" s="27"/>
      <c r="J111" s="25" t="s">
        <v>214</v>
      </c>
      <c r="K111" s="28"/>
      <c r="L111" s="32" t="s">
        <v>241</v>
      </c>
      <c r="M111" s="26" t="s">
        <v>845</v>
      </c>
      <c r="N111" s="25" t="s">
        <v>205</v>
      </c>
      <c r="O111" s="37" t="s">
        <v>206</v>
      </c>
      <c r="P111" s="35"/>
      <c r="Q111" s="39">
        <f t="shared" si="7"/>
        <v>3</v>
      </c>
    </row>
    <row r="112" ht="42" customHeight="1" spans="1:17">
      <c r="A112" s="25">
        <v>100</v>
      </c>
      <c r="B112" s="26" t="s">
        <v>832</v>
      </c>
      <c r="C112" s="26" t="s">
        <v>846</v>
      </c>
      <c r="D112" s="38" t="s">
        <v>299</v>
      </c>
      <c r="E112" s="26" t="s">
        <v>847</v>
      </c>
      <c r="F112" s="26" t="s">
        <v>848</v>
      </c>
      <c r="G112" s="26" t="s">
        <v>849</v>
      </c>
      <c r="H112" s="26" t="s">
        <v>850</v>
      </c>
      <c r="I112" s="27"/>
      <c r="J112" s="25" t="s">
        <v>214</v>
      </c>
      <c r="K112" s="28"/>
      <c r="L112" s="32" t="s">
        <v>241</v>
      </c>
      <c r="M112" s="26" t="s">
        <v>851</v>
      </c>
      <c r="N112" s="25" t="s">
        <v>205</v>
      </c>
      <c r="O112" s="37" t="s">
        <v>206</v>
      </c>
      <c r="P112" s="35"/>
      <c r="Q112" s="39">
        <f t="shared" si="7"/>
        <v>3</v>
      </c>
    </row>
    <row r="113" ht="42" customHeight="1" spans="1:17">
      <c r="A113" s="25">
        <v>101</v>
      </c>
      <c r="B113" s="26" t="s">
        <v>832</v>
      </c>
      <c r="C113" s="35" t="s">
        <v>852</v>
      </c>
      <c r="D113" s="38" t="s">
        <v>187</v>
      </c>
      <c r="E113" s="26" t="s">
        <v>853</v>
      </c>
      <c r="F113" s="26" t="s">
        <v>854</v>
      </c>
      <c r="G113" s="26" t="s">
        <v>855</v>
      </c>
      <c r="H113" s="26" t="s">
        <v>856</v>
      </c>
      <c r="I113" s="27"/>
      <c r="J113" s="25" t="s">
        <v>203</v>
      </c>
      <c r="K113" s="28"/>
      <c r="L113" s="32" t="s">
        <v>241</v>
      </c>
      <c r="M113" s="26" t="s">
        <v>857</v>
      </c>
      <c r="N113" s="25" t="s">
        <v>286</v>
      </c>
      <c r="O113" s="31" t="s">
        <v>287</v>
      </c>
      <c r="P113" s="26" t="s">
        <v>858</v>
      </c>
      <c r="Q113" s="39">
        <f t="shared" si="7"/>
        <v>4</v>
      </c>
    </row>
    <row r="114" ht="42" customHeight="1" spans="1:17">
      <c r="A114" s="25">
        <v>102</v>
      </c>
      <c r="B114" s="26" t="s">
        <v>832</v>
      </c>
      <c r="C114" s="26" t="s">
        <v>859</v>
      </c>
      <c r="D114" s="38" t="s">
        <v>198</v>
      </c>
      <c r="E114" s="26" t="s">
        <v>860</v>
      </c>
      <c r="F114" s="26" t="s">
        <v>861</v>
      </c>
      <c r="G114" s="26" t="s">
        <v>862</v>
      </c>
      <c r="H114" s="26" t="s">
        <v>863</v>
      </c>
      <c r="I114" s="27"/>
      <c r="J114" s="25" t="s">
        <v>214</v>
      </c>
      <c r="K114" s="28"/>
      <c r="L114" s="32" t="s">
        <v>241</v>
      </c>
      <c r="M114" s="26" t="s">
        <v>864</v>
      </c>
      <c r="N114" s="25" t="s">
        <v>286</v>
      </c>
      <c r="O114" s="30" t="s">
        <v>317</v>
      </c>
      <c r="P114" s="35"/>
      <c r="Q114" s="39">
        <f t="shared" si="7"/>
        <v>3</v>
      </c>
    </row>
    <row r="115" ht="42" customHeight="1" spans="1:17">
      <c r="A115" s="25">
        <v>103</v>
      </c>
      <c r="B115" s="26" t="s">
        <v>832</v>
      </c>
      <c r="C115" s="26" t="s">
        <v>865</v>
      </c>
      <c r="D115" s="38" t="s">
        <v>299</v>
      </c>
      <c r="E115" s="26" t="s">
        <v>866</v>
      </c>
      <c r="F115" s="26" t="s">
        <v>867</v>
      </c>
      <c r="G115" s="26" t="s">
        <v>868</v>
      </c>
      <c r="H115" s="26" t="s">
        <v>869</v>
      </c>
      <c r="I115" s="27"/>
      <c r="J115" s="25" t="s">
        <v>203</v>
      </c>
      <c r="K115" s="28"/>
      <c r="L115" s="29" t="s">
        <v>256</v>
      </c>
      <c r="M115" s="26" t="s">
        <v>870</v>
      </c>
      <c r="N115" s="25" t="s">
        <v>286</v>
      </c>
      <c r="O115" s="41" t="s">
        <v>871</v>
      </c>
      <c r="P115" s="26" t="s">
        <v>872</v>
      </c>
      <c r="Q115" s="39">
        <f t="shared" si="7"/>
        <v>4</v>
      </c>
    </row>
    <row r="116" ht="42" customHeight="1" spans="1:17">
      <c r="A116" s="25">
        <v>104</v>
      </c>
      <c r="B116" s="26" t="s">
        <v>832</v>
      </c>
      <c r="C116" s="26" t="s">
        <v>873</v>
      </c>
      <c r="D116" s="38" t="s">
        <v>209</v>
      </c>
      <c r="E116" s="26" t="s">
        <v>874</v>
      </c>
      <c r="F116" s="26" t="s">
        <v>875</v>
      </c>
      <c r="G116" s="26" t="s">
        <v>876</v>
      </c>
      <c r="H116" s="26" t="s">
        <v>877</v>
      </c>
      <c r="I116" s="27"/>
      <c r="J116" s="25" t="s">
        <v>233</v>
      </c>
      <c r="K116" s="28"/>
      <c r="L116" s="29" t="s">
        <v>256</v>
      </c>
      <c r="M116" s="26" t="s">
        <v>878</v>
      </c>
      <c r="N116" s="25" t="s">
        <v>286</v>
      </c>
      <c r="O116" s="31" t="s">
        <v>287</v>
      </c>
      <c r="P116" s="26" t="s">
        <v>879</v>
      </c>
      <c r="Q116" s="39">
        <f t="shared" si="7"/>
        <v>5</v>
      </c>
    </row>
    <row r="117" ht="42" customHeight="1" spans="1:17">
      <c r="A117" s="25">
        <v>105</v>
      </c>
      <c r="B117" s="26" t="s">
        <v>832</v>
      </c>
      <c r="C117" s="26" t="s">
        <v>880</v>
      </c>
      <c r="D117" s="38" t="s">
        <v>367</v>
      </c>
      <c r="E117" s="35" t="s">
        <v>881</v>
      </c>
      <c r="F117" s="26" t="s">
        <v>882</v>
      </c>
      <c r="G117" s="26" t="s">
        <v>883</v>
      </c>
      <c r="H117" s="26" t="s">
        <v>884</v>
      </c>
      <c r="I117" s="27"/>
      <c r="J117" s="25" t="s">
        <v>214</v>
      </c>
      <c r="K117" s="28"/>
      <c r="L117" s="32" t="s">
        <v>241</v>
      </c>
      <c r="M117" s="26" t="s">
        <v>885</v>
      </c>
      <c r="N117" s="25" t="s">
        <v>205</v>
      </c>
      <c r="O117" s="37" t="s">
        <v>206</v>
      </c>
      <c r="P117" s="35"/>
      <c r="Q117" s="39">
        <f t="shared" si="7"/>
        <v>3</v>
      </c>
    </row>
    <row r="118" ht="42" customHeight="1" spans="1:17">
      <c r="A118" s="25">
        <v>106</v>
      </c>
      <c r="B118" s="26" t="s">
        <v>832</v>
      </c>
      <c r="C118" s="26" t="s">
        <v>886</v>
      </c>
      <c r="D118" s="38" t="s">
        <v>299</v>
      </c>
      <c r="E118" s="26" t="s">
        <v>887</v>
      </c>
      <c r="F118" s="26" t="s">
        <v>888</v>
      </c>
      <c r="G118" s="26" t="s">
        <v>889</v>
      </c>
      <c r="H118" s="26" t="s">
        <v>890</v>
      </c>
      <c r="I118" s="27"/>
      <c r="J118" s="25" t="s">
        <v>192</v>
      </c>
      <c r="K118" s="28"/>
      <c r="L118" s="36" t="s">
        <v>193</v>
      </c>
      <c r="M118" s="26" t="s">
        <v>891</v>
      </c>
      <c r="N118" s="25" t="s">
        <v>195</v>
      </c>
      <c r="O118" s="34" t="s">
        <v>196</v>
      </c>
      <c r="P118" s="35"/>
      <c r="Q118" s="39">
        <f t="shared" si="7"/>
        <v>2</v>
      </c>
    </row>
    <row r="119" ht="42" customHeight="1" spans="1:17">
      <c r="A119" s="25">
        <v>107</v>
      </c>
      <c r="B119" s="26" t="s">
        <v>832</v>
      </c>
      <c r="C119" s="26" t="s">
        <v>892</v>
      </c>
      <c r="D119" s="38" t="s">
        <v>209</v>
      </c>
      <c r="E119" s="26" t="s">
        <v>893</v>
      </c>
      <c r="F119" s="26" t="s">
        <v>894</v>
      </c>
      <c r="G119" s="26" t="s">
        <v>895</v>
      </c>
      <c r="H119" s="26" t="s">
        <v>896</v>
      </c>
      <c r="I119" s="27"/>
      <c r="J119" s="25" t="s">
        <v>203</v>
      </c>
      <c r="K119" s="28"/>
      <c r="L119" s="29" t="s">
        <v>256</v>
      </c>
      <c r="M119" s="26" t="s">
        <v>897</v>
      </c>
      <c r="N119" s="25" t="s">
        <v>286</v>
      </c>
      <c r="O119" s="31" t="s">
        <v>287</v>
      </c>
      <c r="P119" s="26" t="s">
        <v>898</v>
      </c>
      <c r="Q119" s="39">
        <f t="shared" si="7"/>
        <v>4</v>
      </c>
    </row>
    <row r="120" ht="42" customHeight="1" spans="1:17">
      <c r="A120" s="25">
        <v>108</v>
      </c>
      <c r="B120" s="26" t="s">
        <v>832</v>
      </c>
      <c r="C120" s="26" t="s">
        <v>899</v>
      </c>
      <c r="D120" s="38" t="s">
        <v>900</v>
      </c>
      <c r="E120" s="35" t="s">
        <v>881</v>
      </c>
      <c r="F120" s="26" t="s">
        <v>901</v>
      </c>
      <c r="G120" s="26" t="s">
        <v>902</v>
      </c>
      <c r="H120" s="26" t="s">
        <v>903</v>
      </c>
      <c r="I120" s="27"/>
      <c r="J120" s="25" t="s">
        <v>192</v>
      </c>
      <c r="K120" s="28"/>
      <c r="L120" s="29" t="s">
        <v>256</v>
      </c>
      <c r="M120" s="26" t="s">
        <v>904</v>
      </c>
      <c r="N120" s="25" t="s">
        <v>286</v>
      </c>
      <c r="O120" s="30" t="s">
        <v>317</v>
      </c>
      <c r="P120" s="26" t="s">
        <v>905</v>
      </c>
      <c r="Q120" s="39">
        <f t="shared" si="7"/>
        <v>2</v>
      </c>
    </row>
    <row r="121" ht="42" customHeight="1" spans="1:17">
      <c r="A121" s="25">
        <v>109</v>
      </c>
      <c r="B121" s="26" t="s">
        <v>832</v>
      </c>
      <c r="C121" s="26" t="s">
        <v>906</v>
      </c>
      <c r="D121" s="38" t="s">
        <v>299</v>
      </c>
      <c r="E121" s="26" t="s">
        <v>841</v>
      </c>
      <c r="F121" s="26" t="s">
        <v>907</v>
      </c>
      <c r="G121" s="26" t="s">
        <v>908</v>
      </c>
      <c r="H121" s="26" t="s">
        <v>909</v>
      </c>
      <c r="I121" s="27"/>
      <c r="J121" s="25" t="s">
        <v>214</v>
      </c>
      <c r="K121" s="28"/>
      <c r="L121" s="36" t="s">
        <v>193</v>
      </c>
      <c r="M121" s="26" t="s">
        <v>910</v>
      </c>
      <c r="N121" s="25" t="s">
        <v>195</v>
      </c>
      <c r="O121" s="34" t="s">
        <v>196</v>
      </c>
      <c r="P121" s="35"/>
      <c r="Q121" s="39">
        <f t="shared" si="7"/>
        <v>3</v>
      </c>
    </row>
    <row r="122" ht="42" customHeight="1" spans="1:17">
      <c r="A122" s="25">
        <v>110</v>
      </c>
      <c r="B122" s="26" t="s">
        <v>832</v>
      </c>
      <c r="C122" s="26" t="s">
        <v>911</v>
      </c>
      <c r="D122" s="38" t="s">
        <v>299</v>
      </c>
      <c r="E122" s="26" t="s">
        <v>912</v>
      </c>
      <c r="F122" s="26" t="s">
        <v>913</v>
      </c>
      <c r="G122" s="26" t="s">
        <v>914</v>
      </c>
      <c r="H122" s="26" t="s">
        <v>915</v>
      </c>
      <c r="I122" s="27"/>
      <c r="J122" s="25" t="s">
        <v>203</v>
      </c>
      <c r="K122" s="28"/>
      <c r="L122" s="36" t="s">
        <v>193</v>
      </c>
      <c r="M122" s="26" t="s">
        <v>916</v>
      </c>
      <c r="N122" s="25" t="s">
        <v>205</v>
      </c>
      <c r="O122" s="37" t="s">
        <v>206</v>
      </c>
      <c r="P122" s="35"/>
      <c r="Q122" s="39">
        <f t="shared" si="7"/>
        <v>4</v>
      </c>
    </row>
    <row r="123" ht="42" customHeight="1" spans="1:17">
      <c r="A123" s="25">
        <v>111</v>
      </c>
      <c r="B123" s="26" t="s">
        <v>832</v>
      </c>
      <c r="C123" s="26" t="s">
        <v>917</v>
      </c>
      <c r="D123" s="38" t="s">
        <v>299</v>
      </c>
      <c r="E123" s="26" t="s">
        <v>918</v>
      </c>
      <c r="F123" s="26" t="s">
        <v>919</v>
      </c>
      <c r="G123" s="26" t="s">
        <v>920</v>
      </c>
      <c r="H123" s="26" t="s">
        <v>921</v>
      </c>
      <c r="I123" s="27"/>
      <c r="J123" s="25" t="s">
        <v>214</v>
      </c>
      <c r="K123" s="28"/>
      <c r="L123" s="36" t="s">
        <v>193</v>
      </c>
      <c r="M123" s="26" t="s">
        <v>922</v>
      </c>
      <c r="N123" s="25" t="s">
        <v>195</v>
      </c>
      <c r="O123" s="34" t="s">
        <v>196</v>
      </c>
      <c r="P123" s="35"/>
      <c r="Q123" s="39">
        <f t="shared" si="7"/>
        <v>3</v>
      </c>
    </row>
    <row r="124" ht="42" customHeight="1" spans="1:17">
      <c r="A124" s="25">
        <v>112</v>
      </c>
      <c r="B124" s="26" t="s">
        <v>832</v>
      </c>
      <c r="C124" s="26" t="s">
        <v>923</v>
      </c>
      <c r="D124" s="38" t="s">
        <v>209</v>
      </c>
      <c r="E124" s="26" t="s">
        <v>924</v>
      </c>
      <c r="F124" s="26" t="s">
        <v>925</v>
      </c>
      <c r="G124" s="26" t="s">
        <v>926</v>
      </c>
      <c r="H124" s="26" t="s">
        <v>927</v>
      </c>
      <c r="I124" s="27"/>
      <c r="J124" s="25" t="s">
        <v>214</v>
      </c>
      <c r="K124" s="28"/>
      <c r="L124" s="32" t="s">
        <v>241</v>
      </c>
      <c r="M124" s="26" t="s">
        <v>928</v>
      </c>
      <c r="N124" s="25" t="s">
        <v>286</v>
      </c>
      <c r="O124" s="30" t="s">
        <v>317</v>
      </c>
      <c r="P124" s="35"/>
      <c r="Q124" s="39">
        <f t="shared" si="7"/>
        <v>3</v>
      </c>
    </row>
    <row r="125" ht="19.5" customHeight="1" spans="1:17">
      <c r="A125" s="3" t="s">
        <v>929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ht="42" customHeight="1" spans="1:17">
      <c r="A126" s="25">
        <v>113</v>
      </c>
      <c r="B126" s="26" t="s">
        <v>930</v>
      </c>
      <c r="C126" s="26" t="s">
        <v>931</v>
      </c>
      <c r="D126" s="38" t="s">
        <v>299</v>
      </c>
      <c r="E126" s="26" t="s">
        <v>932</v>
      </c>
      <c r="F126" s="26" t="s">
        <v>933</v>
      </c>
      <c r="G126" s="26" t="s">
        <v>934</v>
      </c>
      <c r="H126" s="26" t="s">
        <v>935</v>
      </c>
      <c r="I126" s="27"/>
      <c r="J126" s="25" t="s">
        <v>233</v>
      </c>
      <c r="K126" s="28"/>
      <c r="L126" s="29" t="s">
        <v>256</v>
      </c>
      <c r="M126" s="26" t="s">
        <v>936</v>
      </c>
      <c r="N126" s="25" t="s">
        <v>205</v>
      </c>
      <c r="O126" s="41" t="s">
        <v>871</v>
      </c>
      <c r="P126" s="26" t="s">
        <v>937</v>
      </c>
      <c r="Q126" s="39">
        <f t="shared" ref="Q126:Q141" si="8">LEN(J126)-LEN(SUBSTITUTE(J126,"★",""))</f>
        <v>5</v>
      </c>
    </row>
    <row r="127" ht="42" customHeight="1" spans="1:17">
      <c r="A127" s="25">
        <v>114</v>
      </c>
      <c r="B127" s="26" t="s">
        <v>930</v>
      </c>
      <c r="C127" s="26" t="s">
        <v>938</v>
      </c>
      <c r="D127" s="38" t="s">
        <v>299</v>
      </c>
      <c r="E127" s="26" t="s">
        <v>939</v>
      </c>
      <c r="F127" s="26" t="s">
        <v>940</v>
      </c>
      <c r="G127" s="26" t="s">
        <v>941</v>
      </c>
      <c r="H127" s="26" t="s">
        <v>942</v>
      </c>
      <c r="I127" s="27"/>
      <c r="J127" s="25" t="s">
        <v>233</v>
      </c>
      <c r="K127" s="28"/>
      <c r="L127" s="29" t="s">
        <v>256</v>
      </c>
      <c r="M127" s="26" t="s">
        <v>943</v>
      </c>
      <c r="N127" s="25" t="s">
        <v>205</v>
      </c>
      <c r="O127" s="37" t="s">
        <v>206</v>
      </c>
      <c r="P127" s="26" t="s">
        <v>944</v>
      </c>
      <c r="Q127" s="39">
        <f t="shared" si="8"/>
        <v>5</v>
      </c>
    </row>
    <row r="128" ht="42" customHeight="1" spans="1:17">
      <c r="A128" s="25">
        <v>115</v>
      </c>
      <c r="B128" s="26" t="s">
        <v>930</v>
      </c>
      <c r="C128" s="26" t="s">
        <v>945</v>
      </c>
      <c r="D128" s="38" t="s">
        <v>299</v>
      </c>
      <c r="E128" s="26" t="s">
        <v>599</v>
      </c>
      <c r="F128" s="26" t="s">
        <v>946</v>
      </c>
      <c r="G128" s="26" t="s">
        <v>947</v>
      </c>
      <c r="H128" s="26" t="s">
        <v>948</v>
      </c>
      <c r="I128" s="27"/>
      <c r="J128" s="25" t="s">
        <v>233</v>
      </c>
      <c r="K128" s="28"/>
      <c r="L128" s="32" t="s">
        <v>241</v>
      </c>
      <c r="M128" s="26" t="s">
        <v>949</v>
      </c>
      <c r="N128" s="25" t="s">
        <v>205</v>
      </c>
      <c r="O128" s="37" t="s">
        <v>206</v>
      </c>
      <c r="P128" s="26" t="s">
        <v>950</v>
      </c>
      <c r="Q128" s="39">
        <f t="shared" si="8"/>
        <v>5</v>
      </c>
    </row>
    <row r="129" ht="42" customHeight="1" spans="1:17">
      <c r="A129" s="25">
        <v>116</v>
      </c>
      <c r="B129" s="26" t="s">
        <v>930</v>
      </c>
      <c r="C129" s="26" t="s">
        <v>951</v>
      </c>
      <c r="D129" s="38" t="s">
        <v>198</v>
      </c>
      <c r="E129" s="26" t="s">
        <v>952</v>
      </c>
      <c r="F129" s="26" t="s">
        <v>953</v>
      </c>
      <c r="G129" s="26" t="s">
        <v>954</v>
      </c>
      <c r="H129" s="26" t="s">
        <v>955</v>
      </c>
      <c r="I129" s="27"/>
      <c r="J129" s="25" t="s">
        <v>233</v>
      </c>
      <c r="K129" s="28"/>
      <c r="L129" s="32" t="s">
        <v>241</v>
      </c>
      <c r="M129" s="26" t="s">
        <v>956</v>
      </c>
      <c r="N129" s="25" t="s">
        <v>205</v>
      </c>
      <c r="O129" s="37" t="s">
        <v>206</v>
      </c>
      <c r="P129" s="35"/>
      <c r="Q129" s="39">
        <f t="shared" si="8"/>
        <v>5</v>
      </c>
    </row>
    <row r="130" ht="42" customHeight="1" spans="1:17">
      <c r="A130" s="25">
        <v>117</v>
      </c>
      <c r="B130" s="26" t="s">
        <v>930</v>
      </c>
      <c r="C130" s="26" t="s">
        <v>957</v>
      </c>
      <c r="D130" s="38" t="s">
        <v>299</v>
      </c>
      <c r="E130" s="26" t="s">
        <v>958</v>
      </c>
      <c r="F130" s="26" t="s">
        <v>959</v>
      </c>
      <c r="G130" s="26" t="s">
        <v>960</v>
      </c>
      <c r="H130" s="26" t="s">
        <v>961</v>
      </c>
      <c r="I130" s="27"/>
      <c r="J130" s="25" t="s">
        <v>203</v>
      </c>
      <c r="K130" s="28"/>
      <c r="L130" s="29" t="s">
        <v>256</v>
      </c>
      <c r="M130" s="26" t="s">
        <v>962</v>
      </c>
      <c r="N130" s="25" t="s">
        <v>195</v>
      </c>
      <c r="O130" s="41" t="s">
        <v>871</v>
      </c>
      <c r="P130" s="26" t="s">
        <v>963</v>
      </c>
      <c r="Q130" s="39">
        <f t="shared" si="8"/>
        <v>4</v>
      </c>
    </row>
    <row r="131" ht="42" customHeight="1" spans="1:17">
      <c r="A131" s="25">
        <v>118</v>
      </c>
      <c r="B131" s="26" t="s">
        <v>930</v>
      </c>
      <c r="C131" s="26" t="s">
        <v>964</v>
      </c>
      <c r="D131" s="38" t="s">
        <v>299</v>
      </c>
      <c r="E131" s="26" t="s">
        <v>965</v>
      </c>
      <c r="F131" s="26" t="s">
        <v>966</v>
      </c>
      <c r="G131" s="26" t="s">
        <v>967</v>
      </c>
      <c r="H131" s="26" t="s">
        <v>968</v>
      </c>
      <c r="I131" s="27"/>
      <c r="J131" s="25" t="s">
        <v>203</v>
      </c>
      <c r="K131" s="28"/>
      <c r="L131" s="36" t="s">
        <v>193</v>
      </c>
      <c r="M131" s="26" t="s">
        <v>969</v>
      </c>
      <c r="N131" s="25" t="s">
        <v>205</v>
      </c>
      <c r="O131" s="37" t="s">
        <v>206</v>
      </c>
      <c r="P131" s="35"/>
      <c r="Q131" s="39">
        <f t="shared" si="8"/>
        <v>4</v>
      </c>
    </row>
    <row r="132" ht="42" customHeight="1" spans="1:17">
      <c r="A132" s="25">
        <v>119</v>
      </c>
      <c r="B132" s="26" t="s">
        <v>930</v>
      </c>
      <c r="C132" s="26" t="s">
        <v>970</v>
      </c>
      <c r="D132" s="38" t="s">
        <v>299</v>
      </c>
      <c r="E132" s="26" t="s">
        <v>971</v>
      </c>
      <c r="F132" s="26" t="s">
        <v>972</v>
      </c>
      <c r="G132" s="26" t="s">
        <v>973</v>
      </c>
      <c r="H132" s="26" t="s">
        <v>974</v>
      </c>
      <c r="I132" s="27"/>
      <c r="J132" s="25" t="s">
        <v>203</v>
      </c>
      <c r="K132" s="28"/>
      <c r="L132" s="32" t="s">
        <v>241</v>
      </c>
      <c r="M132" s="26" t="s">
        <v>975</v>
      </c>
      <c r="N132" s="25" t="s">
        <v>205</v>
      </c>
      <c r="O132" s="37" t="s">
        <v>206</v>
      </c>
      <c r="P132" s="35"/>
      <c r="Q132" s="39">
        <f t="shared" si="8"/>
        <v>4</v>
      </c>
    </row>
    <row r="133" ht="42" customHeight="1" spans="1:17">
      <c r="A133" s="25">
        <v>120</v>
      </c>
      <c r="B133" s="26" t="s">
        <v>930</v>
      </c>
      <c r="C133" s="26" t="s">
        <v>976</v>
      </c>
      <c r="D133" s="38" t="s">
        <v>198</v>
      </c>
      <c r="E133" s="26" t="s">
        <v>977</v>
      </c>
      <c r="F133" s="26" t="s">
        <v>978</v>
      </c>
      <c r="G133" s="26" t="s">
        <v>979</v>
      </c>
      <c r="H133" s="26" t="s">
        <v>980</v>
      </c>
      <c r="I133" s="27"/>
      <c r="J133" s="25" t="s">
        <v>214</v>
      </c>
      <c r="K133" s="28"/>
      <c r="L133" s="36" t="s">
        <v>193</v>
      </c>
      <c r="M133" s="26" t="s">
        <v>719</v>
      </c>
      <c r="N133" s="25" t="s">
        <v>205</v>
      </c>
      <c r="O133" s="37" t="s">
        <v>206</v>
      </c>
      <c r="P133" s="35"/>
      <c r="Q133" s="39">
        <f t="shared" si="8"/>
        <v>3</v>
      </c>
    </row>
    <row r="134" ht="42" customHeight="1" spans="1:17">
      <c r="A134" s="25">
        <v>121</v>
      </c>
      <c r="B134" s="26" t="s">
        <v>930</v>
      </c>
      <c r="C134" s="26" t="s">
        <v>981</v>
      </c>
      <c r="D134" s="38" t="s">
        <v>299</v>
      </c>
      <c r="E134" s="26" t="s">
        <v>982</v>
      </c>
      <c r="F134" s="26" t="s">
        <v>983</v>
      </c>
      <c r="G134" s="26" t="s">
        <v>984</v>
      </c>
      <c r="H134" s="26" t="s">
        <v>985</v>
      </c>
      <c r="I134" s="27"/>
      <c r="J134" s="25" t="s">
        <v>214</v>
      </c>
      <c r="K134" s="28"/>
      <c r="L134" s="36" t="s">
        <v>193</v>
      </c>
      <c r="M134" s="26" t="s">
        <v>986</v>
      </c>
      <c r="N134" s="25" t="s">
        <v>205</v>
      </c>
      <c r="O134" s="37" t="s">
        <v>206</v>
      </c>
      <c r="P134" s="35"/>
      <c r="Q134" s="39">
        <f t="shared" si="8"/>
        <v>3</v>
      </c>
    </row>
    <row r="135" ht="42" customHeight="1" spans="1:17">
      <c r="A135" s="25">
        <v>122</v>
      </c>
      <c r="B135" s="26" t="s">
        <v>930</v>
      </c>
      <c r="C135" s="26" t="s">
        <v>987</v>
      </c>
      <c r="D135" s="38" t="s">
        <v>187</v>
      </c>
      <c r="E135" s="26" t="s">
        <v>982</v>
      </c>
      <c r="F135" s="35" t="s">
        <v>988</v>
      </c>
      <c r="G135" s="26" t="s">
        <v>989</v>
      </c>
      <c r="H135" s="26" t="s">
        <v>990</v>
      </c>
      <c r="I135" s="27"/>
      <c r="J135" s="25" t="s">
        <v>192</v>
      </c>
      <c r="K135" s="28"/>
      <c r="L135" s="32" t="s">
        <v>241</v>
      </c>
      <c r="M135" s="26" t="s">
        <v>991</v>
      </c>
      <c r="N135" s="25" t="s">
        <v>205</v>
      </c>
      <c r="O135" s="37" t="s">
        <v>206</v>
      </c>
      <c r="P135" s="35"/>
      <c r="Q135" s="39">
        <f t="shared" si="8"/>
        <v>2</v>
      </c>
    </row>
    <row r="136" ht="42" customHeight="1" spans="1:17">
      <c r="A136" s="25">
        <v>123</v>
      </c>
      <c r="B136" s="26" t="s">
        <v>930</v>
      </c>
      <c r="C136" s="26" t="s">
        <v>992</v>
      </c>
      <c r="D136" s="38" t="s">
        <v>209</v>
      </c>
      <c r="E136" s="26" t="s">
        <v>993</v>
      </c>
      <c r="F136" s="26" t="s">
        <v>994</v>
      </c>
      <c r="G136" s="26" t="s">
        <v>995</v>
      </c>
      <c r="H136" s="26" t="s">
        <v>996</v>
      </c>
      <c r="I136" s="27"/>
      <c r="J136" s="25" t="s">
        <v>203</v>
      </c>
      <c r="K136" s="28"/>
      <c r="L136" s="36" t="s">
        <v>193</v>
      </c>
      <c r="M136" s="26" t="s">
        <v>997</v>
      </c>
      <c r="N136" s="25" t="s">
        <v>363</v>
      </c>
      <c r="O136" s="40" t="s">
        <v>364</v>
      </c>
      <c r="P136" s="35"/>
      <c r="Q136" s="39">
        <f t="shared" si="8"/>
        <v>4</v>
      </c>
    </row>
    <row r="137" ht="42" customHeight="1" spans="1:17">
      <c r="A137" s="25">
        <v>124</v>
      </c>
      <c r="B137" s="26" t="s">
        <v>930</v>
      </c>
      <c r="C137" s="26" t="s">
        <v>998</v>
      </c>
      <c r="D137" s="38" t="s">
        <v>187</v>
      </c>
      <c r="E137" s="26" t="s">
        <v>999</v>
      </c>
      <c r="F137" s="26" t="s">
        <v>1000</v>
      </c>
      <c r="G137" s="26" t="s">
        <v>1001</v>
      </c>
      <c r="H137" s="26" t="s">
        <v>1002</v>
      </c>
      <c r="I137" s="27"/>
      <c r="J137" s="25" t="s">
        <v>203</v>
      </c>
      <c r="K137" s="28"/>
      <c r="L137" s="32" t="s">
        <v>241</v>
      </c>
      <c r="M137" s="26" t="s">
        <v>1003</v>
      </c>
      <c r="N137" s="25" t="s">
        <v>205</v>
      </c>
      <c r="O137" s="37" t="s">
        <v>206</v>
      </c>
      <c r="P137" s="35"/>
      <c r="Q137" s="39">
        <f t="shared" si="8"/>
        <v>4</v>
      </c>
    </row>
    <row r="138" ht="42" customHeight="1" spans="1:17">
      <c r="A138" s="25">
        <v>125</v>
      </c>
      <c r="B138" s="26" t="s">
        <v>930</v>
      </c>
      <c r="C138" s="26" t="s">
        <v>1004</v>
      </c>
      <c r="D138" s="38" t="s">
        <v>187</v>
      </c>
      <c r="E138" s="26" t="s">
        <v>1005</v>
      </c>
      <c r="F138" s="26" t="s">
        <v>1006</v>
      </c>
      <c r="G138" s="26" t="s">
        <v>1007</v>
      </c>
      <c r="H138" s="26" t="s">
        <v>1008</v>
      </c>
      <c r="I138" s="27"/>
      <c r="J138" s="25" t="s">
        <v>203</v>
      </c>
      <c r="K138" s="28"/>
      <c r="L138" s="36" t="s">
        <v>193</v>
      </c>
      <c r="M138" s="26" t="s">
        <v>1009</v>
      </c>
      <c r="N138" s="25" t="s">
        <v>205</v>
      </c>
      <c r="O138" s="37" t="s">
        <v>206</v>
      </c>
      <c r="P138" s="35"/>
      <c r="Q138" s="39">
        <f t="shared" si="8"/>
        <v>4</v>
      </c>
    </row>
    <row r="139" ht="42" customHeight="1" spans="1:17">
      <c r="A139" s="25">
        <v>126</v>
      </c>
      <c r="B139" s="26" t="s">
        <v>930</v>
      </c>
      <c r="C139" s="26" t="s">
        <v>1010</v>
      </c>
      <c r="D139" s="38" t="s">
        <v>367</v>
      </c>
      <c r="E139" s="26" t="s">
        <v>1011</v>
      </c>
      <c r="F139" s="26" t="s">
        <v>1012</v>
      </c>
      <c r="G139" s="26" t="s">
        <v>1013</v>
      </c>
      <c r="H139" s="26" t="s">
        <v>1014</v>
      </c>
      <c r="I139" s="27"/>
      <c r="J139" s="25" t="s">
        <v>214</v>
      </c>
      <c r="K139" s="28"/>
      <c r="L139" s="32" t="s">
        <v>241</v>
      </c>
      <c r="M139" s="26" t="s">
        <v>1015</v>
      </c>
      <c r="N139" s="25" t="s">
        <v>205</v>
      </c>
      <c r="O139" s="37" t="s">
        <v>206</v>
      </c>
      <c r="P139" s="35"/>
      <c r="Q139" s="39">
        <f t="shared" si="8"/>
        <v>3</v>
      </c>
    </row>
    <row r="140" ht="42" customHeight="1" spans="1:17">
      <c r="A140" s="25">
        <v>127</v>
      </c>
      <c r="B140" s="26" t="s">
        <v>930</v>
      </c>
      <c r="C140" s="26" t="s">
        <v>1016</v>
      </c>
      <c r="D140" s="38" t="s">
        <v>299</v>
      </c>
      <c r="E140" s="26" t="s">
        <v>715</v>
      </c>
      <c r="F140" s="26" t="s">
        <v>1017</v>
      </c>
      <c r="G140" s="26" t="s">
        <v>1018</v>
      </c>
      <c r="H140" s="26" t="s">
        <v>1019</v>
      </c>
      <c r="I140" s="27"/>
      <c r="J140" s="25" t="s">
        <v>214</v>
      </c>
      <c r="K140" s="28"/>
      <c r="L140" s="36" t="s">
        <v>193</v>
      </c>
      <c r="M140" s="26" t="s">
        <v>1020</v>
      </c>
      <c r="N140" s="25" t="s">
        <v>205</v>
      </c>
      <c r="O140" s="37" t="s">
        <v>206</v>
      </c>
      <c r="P140" s="35"/>
      <c r="Q140" s="39">
        <f t="shared" si="8"/>
        <v>3</v>
      </c>
    </row>
    <row r="141" ht="42" customHeight="1" spans="1:17">
      <c r="A141" s="25">
        <v>128</v>
      </c>
      <c r="B141" s="26" t="s">
        <v>930</v>
      </c>
      <c r="C141" s="26" t="s">
        <v>1021</v>
      </c>
      <c r="D141" s="38" t="s">
        <v>299</v>
      </c>
      <c r="E141" s="26" t="s">
        <v>993</v>
      </c>
      <c r="F141" s="26" t="s">
        <v>1022</v>
      </c>
      <c r="G141" s="26" t="s">
        <v>1023</v>
      </c>
      <c r="H141" s="26" t="s">
        <v>1024</v>
      </c>
      <c r="I141" s="27"/>
      <c r="J141" s="25" t="s">
        <v>214</v>
      </c>
      <c r="K141" s="28"/>
      <c r="L141" s="36" t="s">
        <v>193</v>
      </c>
      <c r="M141" s="26" t="s">
        <v>1025</v>
      </c>
      <c r="N141" s="25" t="s">
        <v>363</v>
      </c>
      <c r="O141" s="40" t="s">
        <v>364</v>
      </c>
      <c r="P141" s="35"/>
      <c r="Q141" s="39">
        <f t="shared" si="8"/>
        <v>3</v>
      </c>
    </row>
    <row r="142" ht="19.5" customHeight="1" spans="1:17">
      <c r="A142" s="3" t="s">
        <v>1026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ht="42" customHeight="1" spans="1:17">
      <c r="A143" s="25">
        <v>129</v>
      </c>
      <c r="B143" s="26" t="s">
        <v>1027</v>
      </c>
      <c r="C143" s="26" t="s">
        <v>1028</v>
      </c>
      <c r="D143" s="38" t="s">
        <v>187</v>
      </c>
      <c r="E143" s="26" t="s">
        <v>1029</v>
      </c>
      <c r="F143" s="26" t="s">
        <v>1030</v>
      </c>
      <c r="G143" s="26" t="s">
        <v>1031</v>
      </c>
      <c r="H143" s="26" t="s">
        <v>1032</v>
      </c>
      <c r="I143" s="27"/>
      <c r="J143" s="25" t="s">
        <v>214</v>
      </c>
      <c r="K143" s="28"/>
      <c r="L143" s="32" t="s">
        <v>241</v>
      </c>
      <c r="M143" s="26" t="s">
        <v>1033</v>
      </c>
      <c r="N143" s="25" t="s">
        <v>205</v>
      </c>
      <c r="O143" s="37" t="s">
        <v>206</v>
      </c>
      <c r="P143" s="26" t="s">
        <v>1034</v>
      </c>
      <c r="Q143" s="39">
        <f t="shared" ref="Q143:Q152" si="9">LEN(J143)-LEN(SUBSTITUTE(J143,"★",""))</f>
        <v>3</v>
      </c>
    </row>
    <row r="144" ht="42" customHeight="1" spans="1:17">
      <c r="A144" s="25">
        <v>130</v>
      </c>
      <c r="B144" s="26" t="s">
        <v>1027</v>
      </c>
      <c r="C144" s="26" t="s">
        <v>1035</v>
      </c>
      <c r="D144" s="38" t="s">
        <v>299</v>
      </c>
      <c r="E144" s="26" t="s">
        <v>1036</v>
      </c>
      <c r="F144" s="26" t="s">
        <v>1037</v>
      </c>
      <c r="G144" s="26" t="s">
        <v>1038</v>
      </c>
      <c r="H144" s="26" t="s">
        <v>1039</v>
      </c>
      <c r="I144" s="27"/>
      <c r="J144" s="25" t="s">
        <v>192</v>
      </c>
      <c r="K144" s="28"/>
      <c r="L144" s="32" t="s">
        <v>241</v>
      </c>
      <c r="M144" s="26" t="s">
        <v>1040</v>
      </c>
      <c r="N144" s="25" t="s">
        <v>205</v>
      </c>
      <c r="O144" s="37" t="s">
        <v>206</v>
      </c>
      <c r="P144" s="35"/>
      <c r="Q144" s="39">
        <f t="shared" si="9"/>
        <v>2</v>
      </c>
    </row>
    <row r="145" ht="42" customHeight="1" spans="1:17">
      <c r="A145" s="25">
        <v>131</v>
      </c>
      <c r="B145" s="26" t="s">
        <v>1027</v>
      </c>
      <c r="C145" s="26" t="s">
        <v>1041</v>
      </c>
      <c r="D145" s="38" t="s">
        <v>367</v>
      </c>
      <c r="E145" s="35" t="s">
        <v>881</v>
      </c>
      <c r="F145" s="26" t="s">
        <v>1042</v>
      </c>
      <c r="G145" s="26" t="s">
        <v>1043</v>
      </c>
      <c r="H145" s="26" t="s">
        <v>1044</v>
      </c>
      <c r="I145" s="27"/>
      <c r="J145" s="25" t="s">
        <v>214</v>
      </c>
      <c r="K145" s="28"/>
      <c r="L145" s="32" t="s">
        <v>241</v>
      </c>
      <c r="M145" s="26" t="s">
        <v>1045</v>
      </c>
      <c r="N145" s="25" t="s">
        <v>195</v>
      </c>
      <c r="O145" s="34" t="s">
        <v>196</v>
      </c>
      <c r="P145" s="35"/>
      <c r="Q145" s="39">
        <f t="shared" si="9"/>
        <v>3</v>
      </c>
    </row>
    <row r="146" ht="42" customHeight="1" spans="1:17">
      <c r="A146" s="25">
        <v>132</v>
      </c>
      <c r="B146" s="26" t="s">
        <v>1027</v>
      </c>
      <c r="C146" s="26" t="s">
        <v>1046</v>
      </c>
      <c r="D146" s="38" t="s">
        <v>187</v>
      </c>
      <c r="E146" s="35" t="s">
        <v>881</v>
      </c>
      <c r="F146" s="26" t="s">
        <v>1047</v>
      </c>
      <c r="G146" s="26" t="s">
        <v>1048</v>
      </c>
      <c r="H146" s="26" t="s">
        <v>1049</v>
      </c>
      <c r="I146" s="27"/>
      <c r="J146" s="25" t="s">
        <v>203</v>
      </c>
      <c r="K146" s="28"/>
      <c r="L146" s="29" t="s">
        <v>256</v>
      </c>
      <c r="M146" s="26" t="s">
        <v>1050</v>
      </c>
      <c r="N146" s="25" t="s">
        <v>195</v>
      </c>
      <c r="O146" s="41" t="s">
        <v>871</v>
      </c>
      <c r="P146" s="26" t="s">
        <v>1051</v>
      </c>
      <c r="Q146" s="39">
        <f t="shared" si="9"/>
        <v>4</v>
      </c>
    </row>
    <row r="147" ht="42" customHeight="1" spans="1:17">
      <c r="A147" s="25">
        <v>133</v>
      </c>
      <c r="B147" s="26" t="s">
        <v>1027</v>
      </c>
      <c r="C147" s="26" t="s">
        <v>1052</v>
      </c>
      <c r="D147" s="38" t="s">
        <v>367</v>
      </c>
      <c r="E147" s="35" t="s">
        <v>881</v>
      </c>
      <c r="F147" s="26" t="s">
        <v>1053</v>
      </c>
      <c r="G147" s="26" t="s">
        <v>1054</v>
      </c>
      <c r="H147" s="26" t="s">
        <v>1055</v>
      </c>
      <c r="I147" s="27"/>
      <c r="J147" s="25" t="s">
        <v>192</v>
      </c>
      <c r="K147" s="28"/>
      <c r="L147" s="32" t="s">
        <v>241</v>
      </c>
      <c r="M147" s="26" t="s">
        <v>1056</v>
      </c>
      <c r="N147" s="25" t="s">
        <v>195</v>
      </c>
      <c r="O147" s="34" t="s">
        <v>196</v>
      </c>
      <c r="P147" s="35"/>
      <c r="Q147" s="39">
        <f t="shared" si="9"/>
        <v>2</v>
      </c>
    </row>
    <row r="148" ht="42" customHeight="1" spans="1:17">
      <c r="A148" s="25">
        <v>134</v>
      </c>
      <c r="B148" s="26" t="s">
        <v>1027</v>
      </c>
      <c r="C148" s="26" t="s">
        <v>1057</v>
      </c>
      <c r="D148" s="38" t="s">
        <v>367</v>
      </c>
      <c r="E148" s="35" t="s">
        <v>881</v>
      </c>
      <c r="F148" s="26" t="s">
        <v>1058</v>
      </c>
      <c r="G148" s="26" t="s">
        <v>1059</v>
      </c>
      <c r="H148" s="26" t="s">
        <v>1060</v>
      </c>
      <c r="I148" s="27"/>
      <c r="J148" s="25" t="s">
        <v>192</v>
      </c>
      <c r="K148" s="28"/>
      <c r="L148" s="29" t="s">
        <v>256</v>
      </c>
      <c r="M148" s="26" t="s">
        <v>1061</v>
      </c>
      <c r="N148" s="25" t="s">
        <v>195</v>
      </c>
      <c r="O148" s="34" t="s">
        <v>196</v>
      </c>
      <c r="P148" s="35"/>
      <c r="Q148" s="39">
        <f t="shared" si="9"/>
        <v>2</v>
      </c>
    </row>
    <row r="149" ht="42" customHeight="1" spans="1:17">
      <c r="A149" s="25">
        <v>135</v>
      </c>
      <c r="B149" s="26" t="s">
        <v>1027</v>
      </c>
      <c r="C149" s="26" t="s">
        <v>1062</v>
      </c>
      <c r="D149" s="38" t="s">
        <v>299</v>
      </c>
      <c r="E149" s="26" t="s">
        <v>229</v>
      </c>
      <c r="F149" s="26" t="s">
        <v>1063</v>
      </c>
      <c r="G149" s="26" t="s">
        <v>1064</v>
      </c>
      <c r="H149" s="26" t="s">
        <v>1065</v>
      </c>
      <c r="I149" s="27"/>
      <c r="J149" s="25" t="s">
        <v>214</v>
      </c>
      <c r="K149" s="28"/>
      <c r="L149" s="36" t="s">
        <v>193</v>
      </c>
      <c r="M149" s="26" t="s">
        <v>1066</v>
      </c>
      <c r="N149" s="25" t="s">
        <v>205</v>
      </c>
      <c r="O149" s="37" t="s">
        <v>206</v>
      </c>
      <c r="P149" s="35"/>
      <c r="Q149" s="39">
        <f t="shared" si="9"/>
        <v>3</v>
      </c>
    </row>
    <row r="150" ht="42" customHeight="1" spans="1:17">
      <c r="A150" s="25">
        <v>136</v>
      </c>
      <c r="B150" s="26" t="s">
        <v>1027</v>
      </c>
      <c r="C150" s="26" t="s">
        <v>1067</v>
      </c>
      <c r="D150" s="38" t="s">
        <v>566</v>
      </c>
      <c r="E150" s="26" t="s">
        <v>1011</v>
      </c>
      <c r="F150" s="26" t="s">
        <v>1068</v>
      </c>
      <c r="G150" s="26" t="s">
        <v>1069</v>
      </c>
      <c r="H150" s="26" t="s">
        <v>1070</v>
      </c>
      <c r="I150" s="27"/>
      <c r="J150" s="25" t="s">
        <v>192</v>
      </c>
      <c r="K150" s="28"/>
      <c r="L150" s="36" t="s">
        <v>193</v>
      </c>
      <c r="M150" s="26" t="s">
        <v>1071</v>
      </c>
      <c r="N150" s="25" t="s">
        <v>205</v>
      </c>
      <c r="O150" s="37" t="s">
        <v>206</v>
      </c>
      <c r="P150" s="35"/>
      <c r="Q150" s="39">
        <f t="shared" si="9"/>
        <v>2</v>
      </c>
    </row>
    <row r="151" ht="42" customHeight="1" spans="1:17">
      <c r="A151" s="25">
        <v>137</v>
      </c>
      <c r="B151" s="26" t="s">
        <v>1027</v>
      </c>
      <c r="C151" s="26" t="s">
        <v>1072</v>
      </c>
      <c r="D151" s="38" t="s">
        <v>367</v>
      </c>
      <c r="E151" s="35" t="s">
        <v>881</v>
      </c>
      <c r="F151" s="26" t="s">
        <v>1073</v>
      </c>
      <c r="G151" s="26" t="s">
        <v>1074</v>
      </c>
      <c r="H151" s="26" t="s">
        <v>1075</v>
      </c>
      <c r="I151" s="27"/>
      <c r="J151" s="25" t="s">
        <v>192</v>
      </c>
      <c r="K151" s="28"/>
      <c r="L151" s="36" t="s">
        <v>193</v>
      </c>
      <c r="M151" s="26" t="s">
        <v>1076</v>
      </c>
      <c r="N151" s="25" t="s">
        <v>363</v>
      </c>
      <c r="O151" s="40" t="s">
        <v>364</v>
      </c>
      <c r="P151" s="35"/>
      <c r="Q151" s="39">
        <f t="shared" si="9"/>
        <v>2</v>
      </c>
    </row>
    <row r="152" ht="42" customHeight="1" spans="1:17">
      <c r="A152" s="25">
        <v>138</v>
      </c>
      <c r="B152" s="26" t="s">
        <v>1027</v>
      </c>
      <c r="C152" s="26" t="s">
        <v>1077</v>
      </c>
      <c r="D152" s="38" t="s">
        <v>566</v>
      </c>
      <c r="E152" s="26" t="s">
        <v>1078</v>
      </c>
      <c r="F152" s="26" t="s">
        <v>1079</v>
      </c>
      <c r="G152" s="26" t="s">
        <v>1080</v>
      </c>
      <c r="H152" s="26" t="s">
        <v>1081</v>
      </c>
      <c r="I152" s="27"/>
      <c r="J152" s="25" t="s">
        <v>192</v>
      </c>
      <c r="K152" s="28"/>
      <c r="L152" s="29" t="s">
        <v>256</v>
      </c>
      <c r="M152" s="26" t="s">
        <v>1082</v>
      </c>
      <c r="N152" s="25" t="s">
        <v>195</v>
      </c>
      <c r="O152" s="34" t="s">
        <v>196</v>
      </c>
      <c r="P152" s="35"/>
      <c r="Q152" s="39">
        <f t="shared" si="9"/>
        <v>2</v>
      </c>
    </row>
    <row r="153" ht="19.5" customHeight="1" spans="1:17">
      <c r="A153" s="3" t="s">
        <v>1083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ht="42" customHeight="1" spans="1:17">
      <c r="A154" s="25">
        <v>139</v>
      </c>
      <c r="B154" s="26" t="s">
        <v>1084</v>
      </c>
      <c r="C154" s="26" t="s">
        <v>1085</v>
      </c>
      <c r="D154" s="38" t="s">
        <v>187</v>
      </c>
      <c r="E154" s="35" t="s">
        <v>881</v>
      </c>
      <c r="F154" s="26" t="s">
        <v>1086</v>
      </c>
      <c r="G154" s="26" t="s">
        <v>1087</v>
      </c>
      <c r="H154" s="26" t="s">
        <v>1088</v>
      </c>
      <c r="I154" s="27"/>
      <c r="J154" s="25" t="s">
        <v>214</v>
      </c>
      <c r="K154" s="28"/>
      <c r="L154" s="32" t="s">
        <v>241</v>
      </c>
      <c r="M154" s="26" t="s">
        <v>1089</v>
      </c>
      <c r="N154" s="25" t="s">
        <v>205</v>
      </c>
      <c r="O154" s="37" t="s">
        <v>206</v>
      </c>
      <c r="P154" s="35"/>
      <c r="Q154" s="39">
        <f t="shared" ref="Q154:Q166" si="10">LEN(J154)-LEN(SUBSTITUTE(J154,"★",""))</f>
        <v>3</v>
      </c>
    </row>
    <row r="155" ht="42" customHeight="1" spans="1:17">
      <c r="A155" s="25">
        <v>140</v>
      </c>
      <c r="B155" s="26" t="s">
        <v>1084</v>
      </c>
      <c r="C155" s="26" t="s">
        <v>1090</v>
      </c>
      <c r="D155" s="38" t="s">
        <v>187</v>
      </c>
      <c r="E155" s="26" t="s">
        <v>503</v>
      </c>
      <c r="F155" s="26" t="s">
        <v>1091</v>
      </c>
      <c r="G155" s="26" t="s">
        <v>1092</v>
      </c>
      <c r="H155" s="26" t="s">
        <v>1093</v>
      </c>
      <c r="I155" s="27"/>
      <c r="J155" s="25" t="s">
        <v>233</v>
      </c>
      <c r="K155" s="28"/>
      <c r="L155" s="32" t="s">
        <v>241</v>
      </c>
      <c r="M155" s="26" t="s">
        <v>1094</v>
      </c>
      <c r="N155" s="25" t="s">
        <v>205</v>
      </c>
      <c r="O155" s="37" t="s">
        <v>206</v>
      </c>
      <c r="P155" s="26" t="s">
        <v>1095</v>
      </c>
      <c r="Q155" s="39">
        <f t="shared" si="10"/>
        <v>5</v>
      </c>
    </row>
    <row r="156" ht="42" customHeight="1" spans="1:17">
      <c r="A156" s="25">
        <v>141</v>
      </c>
      <c r="B156" s="26" t="s">
        <v>1084</v>
      </c>
      <c r="C156" s="26" t="s">
        <v>1096</v>
      </c>
      <c r="D156" s="38" t="s">
        <v>187</v>
      </c>
      <c r="E156" s="26" t="s">
        <v>1097</v>
      </c>
      <c r="F156" s="26" t="s">
        <v>1098</v>
      </c>
      <c r="G156" s="26" t="s">
        <v>1099</v>
      </c>
      <c r="H156" s="26" t="s">
        <v>1100</v>
      </c>
      <c r="I156" s="27"/>
      <c r="J156" s="25" t="s">
        <v>203</v>
      </c>
      <c r="K156" s="28"/>
      <c r="L156" s="36" t="s">
        <v>193</v>
      </c>
      <c r="M156" s="26" t="s">
        <v>1101</v>
      </c>
      <c r="N156" s="25" t="s">
        <v>205</v>
      </c>
      <c r="O156" s="37" t="s">
        <v>206</v>
      </c>
      <c r="P156" s="35"/>
      <c r="Q156" s="39">
        <f t="shared" si="10"/>
        <v>4</v>
      </c>
    </row>
    <row r="157" ht="42" customHeight="1" spans="1:17">
      <c r="A157" s="25">
        <v>142</v>
      </c>
      <c r="B157" s="26" t="s">
        <v>1084</v>
      </c>
      <c r="C157" s="26" t="s">
        <v>1102</v>
      </c>
      <c r="D157" s="38" t="s">
        <v>299</v>
      </c>
      <c r="E157" s="26" t="s">
        <v>1103</v>
      </c>
      <c r="F157" s="26" t="s">
        <v>1104</v>
      </c>
      <c r="G157" s="26" t="s">
        <v>1105</v>
      </c>
      <c r="H157" s="26" t="s">
        <v>1106</v>
      </c>
      <c r="I157" s="27"/>
      <c r="J157" s="25" t="s">
        <v>214</v>
      </c>
      <c r="K157" s="28"/>
      <c r="L157" s="32" t="s">
        <v>241</v>
      </c>
      <c r="M157" s="26" t="s">
        <v>1107</v>
      </c>
      <c r="N157" s="25" t="s">
        <v>205</v>
      </c>
      <c r="O157" s="37" t="s">
        <v>206</v>
      </c>
      <c r="P157" s="35"/>
      <c r="Q157" s="39">
        <f t="shared" si="10"/>
        <v>3</v>
      </c>
    </row>
    <row r="158" ht="42" customHeight="1" spans="1:17">
      <c r="A158" s="25">
        <v>143</v>
      </c>
      <c r="B158" s="26" t="s">
        <v>1084</v>
      </c>
      <c r="C158" s="26" t="s">
        <v>1108</v>
      </c>
      <c r="D158" s="38" t="s">
        <v>187</v>
      </c>
      <c r="E158" s="26" t="s">
        <v>1109</v>
      </c>
      <c r="F158" s="26" t="s">
        <v>1110</v>
      </c>
      <c r="G158" s="26" t="s">
        <v>1111</v>
      </c>
      <c r="H158" s="26" t="s">
        <v>1112</v>
      </c>
      <c r="I158" s="27"/>
      <c r="J158" s="25" t="s">
        <v>192</v>
      </c>
      <c r="K158" s="28"/>
      <c r="L158" s="32" t="s">
        <v>241</v>
      </c>
      <c r="M158" s="26" t="s">
        <v>1113</v>
      </c>
      <c r="N158" s="25" t="s">
        <v>205</v>
      </c>
      <c r="O158" s="37" t="s">
        <v>206</v>
      </c>
      <c r="P158" s="35"/>
      <c r="Q158" s="39">
        <f t="shared" si="10"/>
        <v>2</v>
      </c>
    </row>
    <row r="159" ht="42" customHeight="1" spans="1:17">
      <c r="A159" s="25">
        <v>144</v>
      </c>
      <c r="B159" s="26" t="s">
        <v>1084</v>
      </c>
      <c r="C159" s="26" t="s">
        <v>1114</v>
      </c>
      <c r="D159" s="38" t="s">
        <v>367</v>
      </c>
      <c r="E159" s="35" t="s">
        <v>881</v>
      </c>
      <c r="F159" s="26" t="s">
        <v>1115</v>
      </c>
      <c r="G159" s="26" t="s">
        <v>1116</v>
      </c>
      <c r="H159" s="26" t="s">
        <v>1117</v>
      </c>
      <c r="I159" s="27"/>
      <c r="J159" s="25" t="s">
        <v>192</v>
      </c>
      <c r="K159" s="28"/>
      <c r="L159" s="32" t="s">
        <v>241</v>
      </c>
      <c r="M159" s="26" t="s">
        <v>1118</v>
      </c>
      <c r="N159" s="25" t="s">
        <v>195</v>
      </c>
      <c r="O159" s="34" t="s">
        <v>196</v>
      </c>
      <c r="P159" s="35"/>
      <c r="Q159" s="39">
        <f t="shared" si="10"/>
        <v>2</v>
      </c>
    </row>
    <row r="160" ht="42" customHeight="1" spans="1:17">
      <c r="A160" s="25">
        <v>145</v>
      </c>
      <c r="B160" s="26" t="s">
        <v>1084</v>
      </c>
      <c r="C160" s="26" t="s">
        <v>1119</v>
      </c>
      <c r="D160" s="38" t="s">
        <v>299</v>
      </c>
      <c r="E160" s="26" t="s">
        <v>1120</v>
      </c>
      <c r="F160" s="26" t="s">
        <v>1121</v>
      </c>
      <c r="G160" s="26" t="s">
        <v>1122</v>
      </c>
      <c r="H160" s="26" t="s">
        <v>1123</v>
      </c>
      <c r="I160" s="27"/>
      <c r="J160" s="25" t="s">
        <v>214</v>
      </c>
      <c r="K160" s="28"/>
      <c r="L160" s="36" t="s">
        <v>193</v>
      </c>
      <c r="M160" s="26" t="s">
        <v>1124</v>
      </c>
      <c r="N160" s="25" t="s">
        <v>195</v>
      </c>
      <c r="O160" s="41" t="s">
        <v>871</v>
      </c>
      <c r="P160" s="35"/>
      <c r="Q160" s="39">
        <f t="shared" si="10"/>
        <v>3</v>
      </c>
    </row>
    <row r="161" ht="42" customHeight="1" spans="1:17">
      <c r="A161" s="25">
        <v>146</v>
      </c>
      <c r="B161" s="26" t="s">
        <v>1084</v>
      </c>
      <c r="C161" s="26" t="s">
        <v>1125</v>
      </c>
      <c r="D161" s="38" t="s">
        <v>187</v>
      </c>
      <c r="E161" s="35" t="s">
        <v>881</v>
      </c>
      <c r="F161" s="26" t="s">
        <v>1126</v>
      </c>
      <c r="G161" s="26" t="s">
        <v>1127</v>
      </c>
      <c r="H161" s="26" t="s">
        <v>1128</v>
      </c>
      <c r="I161" s="27"/>
      <c r="J161" s="25" t="s">
        <v>214</v>
      </c>
      <c r="K161" s="28"/>
      <c r="L161" s="29" t="s">
        <v>256</v>
      </c>
      <c r="M161" s="26" t="s">
        <v>1129</v>
      </c>
      <c r="N161" s="25" t="s">
        <v>195</v>
      </c>
      <c r="O161" s="41" t="s">
        <v>871</v>
      </c>
      <c r="P161" s="35"/>
      <c r="Q161" s="39">
        <f t="shared" si="10"/>
        <v>3</v>
      </c>
    </row>
    <row r="162" ht="42" customHeight="1" spans="1:17">
      <c r="A162" s="25">
        <v>147</v>
      </c>
      <c r="B162" s="26" t="s">
        <v>1084</v>
      </c>
      <c r="C162" s="26" t="s">
        <v>1130</v>
      </c>
      <c r="D162" s="38" t="s">
        <v>299</v>
      </c>
      <c r="E162" s="26" t="s">
        <v>1120</v>
      </c>
      <c r="F162" s="26" t="s">
        <v>1131</v>
      </c>
      <c r="G162" s="26" t="s">
        <v>1132</v>
      </c>
      <c r="H162" s="26" t="s">
        <v>1133</v>
      </c>
      <c r="I162" s="27"/>
      <c r="J162" s="25" t="s">
        <v>214</v>
      </c>
      <c r="K162" s="28"/>
      <c r="L162" s="29" t="s">
        <v>256</v>
      </c>
      <c r="M162" s="26" t="s">
        <v>1134</v>
      </c>
      <c r="N162" s="25" t="s">
        <v>195</v>
      </c>
      <c r="O162" s="41" t="s">
        <v>871</v>
      </c>
      <c r="P162" s="26" t="s">
        <v>1135</v>
      </c>
      <c r="Q162" s="39">
        <f t="shared" si="10"/>
        <v>3</v>
      </c>
    </row>
    <row r="163" ht="42" customHeight="1" spans="1:17">
      <c r="A163" s="25">
        <v>148</v>
      </c>
      <c r="B163" s="26" t="s">
        <v>1084</v>
      </c>
      <c r="C163" s="26" t="s">
        <v>1136</v>
      </c>
      <c r="D163" s="38" t="s">
        <v>367</v>
      </c>
      <c r="E163" s="35" t="s">
        <v>881</v>
      </c>
      <c r="F163" s="26" t="s">
        <v>1137</v>
      </c>
      <c r="G163" s="26" t="s">
        <v>1138</v>
      </c>
      <c r="H163" s="26" t="s">
        <v>1139</v>
      </c>
      <c r="I163" s="27"/>
      <c r="J163" s="25" t="s">
        <v>192</v>
      </c>
      <c r="K163" s="28"/>
      <c r="L163" s="29" t="s">
        <v>256</v>
      </c>
      <c r="M163" s="26" t="s">
        <v>1140</v>
      </c>
      <c r="N163" s="25" t="s">
        <v>205</v>
      </c>
      <c r="O163" s="37" t="s">
        <v>206</v>
      </c>
      <c r="P163" s="26" t="s">
        <v>1141</v>
      </c>
      <c r="Q163" s="39">
        <f t="shared" si="10"/>
        <v>2</v>
      </c>
    </row>
    <row r="164" ht="42" customHeight="1" spans="1:17">
      <c r="A164" s="25">
        <v>149</v>
      </c>
      <c r="B164" s="26" t="s">
        <v>1084</v>
      </c>
      <c r="C164" s="26" t="s">
        <v>1142</v>
      </c>
      <c r="D164" s="38" t="s">
        <v>299</v>
      </c>
      <c r="E164" s="26" t="s">
        <v>1103</v>
      </c>
      <c r="F164" s="26" t="s">
        <v>1143</v>
      </c>
      <c r="G164" s="26" t="s">
        <v>1105</v>
      </c>
      <c r="H164" s="26" t="s">
        <v>1144</v>
      </c>
      <c r="I164" s="27"/>
      <c r="J164" s="25" t="s">
        <v>214</v>
      </c>
      <c r="K164" s="28"/>
      <c r="L164" s="32" t="s">
        <v>241</v>
      </c>
      <c r="M164" s="26" t="s">
        <v>1145</v>
      </c>
      <c r="N164" s="25" t="s">
        <v>205</v>
      </c>
      <c r="O164" s="37" t="s">
        <v>206</v>
      </c>
      <c r="P164" s="35"/>
      <c r="Q164" s="39">
        <f t="shared" si="10"/>
        <v>3</v>
      </c>
    </row>
    <row r="165" ht="42" customHeight="1" spans="1:17">
      <c r="A165" s="25">
        <v>150</v>
      </c>
      <c r="B165" s="26" t="s">
        <v>1084</v>
      </c>
      <c r="C165" s="26" t="s">
        <v>1146</v>
      </c>
      <c r="D165" s="38" t="s">
        <v>566</v>
      </c>
      <c r="E165" s="26" t="s">
        <v>1147</v>
      </c>
      <c r="F165" s="26" t="s">
        <v>1148</v>
      </c>
      <c r="G165" s="26" t="s">
        <v>1149</v>
      </c>
      <c r="H165" s="26" t="s">
        <v>1150</v>
      </c>
      <c r="I165" s="27"/>
      <c r="J165" s="25" t="s">
        <v>192</v>
      </c>
      <c r="K165" s="28"/>
      <c r="L165" s="32" t="s">
        <v>241</v>
      </c>
      <c r="M165" s="26" t="s">
        <v>1151</v>
      </c>
      <c r="N165" s="25" t="s">
        <v>195</v>
      </c>
      <c r="O165" s="34" t="s">
        <v>196</v>
      </c>
      <c r="P165" s="35"/>
      <c r="Q165" s="39">
        <f t="shared" si="10"/>
        <v>2</v>
      </c>
    </row>
    <row r="166" ht="42" customHeight="1" spans="1:17">
      <c r="A166" s="25">
        <v>151</v>
      </c>
      <c r="B166" s="26" t="s">
        <v>1084</v>
      </c>
      <c r="C166" s="26" t="s">
        <v>1152</v>
      </c>
      <c r="D166" s="38" t="s">
        <v>367</v>
      </c>
      <c r="E166" s="35" t="s">
        <v>881</v>
      </c>
      <c r="F166" s="26" t="s">
        <v>1153</v>
      </c>
      <c r="G166" s="26" t="s">
        <v>1154</v>
      </c>
      <c r="H166" s="26" t="s">
        <v>1155</v>
      </c>
      <c r="I166" s="27"/>
      <c r="J166" s="25" t="s">
        <v>192</v>
      </c>
      <c r="K166" s="28"/>
      <c r="L166" s="29" t="s">
        <v>256</v>
      </c>
      <c r="M166" s="26" t="s">
        <v>1156</v>
      </c>
      <c r="N166" s="25" t="s">
        <v>195</v>
      </c>
      <c r="O166" s="41" t="s">
        <v>871</v>
      </c>
      <c r="P166" s="35"/>
      <c r="Q166" s="39">
        <f t="shared" si="10"/>
        <v>2</v>
      </c>
    </row>
  </sheetData>
  <autoFilter xmlns:etc="http://www.wps.cn/officeDocument/2017/etCustomData" ref="A4:P166" etc:filterBottomFollowUsedRange="0">
    <extLst/>
  </autoFilter>
  <mergeCells count="13">
    <mergeCell ref="A1:Q1"/>
    <mergeCell ref="A2:Q2"/>
    <mergeCell ref="A5:Q5"/>
    <mergeCell ref="A19:Q19"/>
    <mergeCell ref="A35:Q35"/>
    <mergeCell ref="A49:Q49"/>
    <mergeCell ref="A65:Q65"/>
    <mergeCell ref="A79:Q79"/>
    <mergeCell ref="A95:Q95"/>
    <mergeCell ref="A109:Q109"/>
    <mergeCell ref="A125:Q125"/>
    <mergeCell ref="A142:Q142"/>
    <mergeCell ref="A153:Q153"/>
  </mergeCells>
  <dataValidations count="1">
    <dataValidation type="list" allowBlank="1" sqref="K5:K166">
      <formula1>"合规,低风险,中风险,高风险,待核实"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A1" sqref="A1:M1"/>
    </sheetView>
  </sheetViews>
  <sheetFormatPr defaultColWidth="8.67857142857143" defaultRowHeight="16.8"/>
  <cols>
    <col min="1" max="1" width="6" customWidth="1"/>
    <col min="2" max="2" width="18" customWidth="1"/>
    <col min="3" max="3" width="28" customWidth="1"/>
    <col min="4" max="4" width="30" customWidth="1"/>
    <col min="5" max="5" width="28" customWidth="1"/>
    <col min="6" max="6" width="30" customWidth="1"/>
    <col min="7" max="7" width="26" customWidth="1"/>
    <col min="8" max="8" width="10" customWidth="1"/>
    <col min="9" max="9" width="8" customWidth="1"/>
    <col min="10" max="10" width="26" customWidth="1"/>
    <col min="11" max="11" width="13" customWidth="1"/>
    <col min="12" max="12" width="14" customWidth="1"/>
    <col min="13" max="13" width="32" customWidth="1"/>
  </cols>
  <sheetData>
    <row r="1" ht="27.75" customHeight="1" spans="1:13">
      <c r="A1" s="1" t="s">
        <v>1157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5.5" customHeight="1" spans="1:13">
      <c r="A2" s="24" t="s">
        <v>1158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4" ht="42" customHeight="1" spans="1:13">
      <c r="A4" s="19" t="s">
        <v>167</v>
      </c>
      <c r="B4" s="19" t="s">
        <v>1159</v>
      </c>
      <c r="C4" s="19" t="s">
        <v>1160</v>
      </c>
      <c r="D4" s="19" t="s">
        <v>1161</v>
      </c>
      <c r="E4" s="19" t="s">
        <v>1162</v>
      </c>
      <c r="F4" s="19" t="s">
        <v>1163</v>
      </c>
      <c r="G4" s="19" t="s">
        <v>175</v>
      </c>
      <c r="H4" s="19" t="s">
        <v>1164</v>
      </c>
      <c r="I4" s="19" t="s">
        <v>178</v>
      </c>
      <c r="J4" s="19" t="s">
        <v>179</v>
      </c>
      <c r="K4" s="19" t="s">
        <v>180</v>
      </c>
      <c r="L4" s="19" t="s">
        <v>181</v>
      </c>
      <c r="M4" s="19" t="s">
        <v>182</v>
      </c>
    </row>
    <row r="5" ht="43.5" customHeight="1" spans="1:13">
      <c r="A5" s="25">
        <v>1</v>
      </c>
      <c r="B5" s="26" t="s">
        <v>769</v>
      </c>
      <c r="C5" s="26" t="s">
        <v>1165</v>
      </c>
      <c r="D5" s="26" t="s">
        <v>1166</v>
      </c>
      <c r="E5" s="26" t="s">
        <v>1167</v>
      </c>
      <c r="F5" s="26" t="s">
        <v>1168</v>
      </c>
      <c r="G5" s="27"/>
      <c r="H5" s="28"/>
      <c r="I5" s="29" t="s">
        <v>256</v>
      </c>
      <c r="J5" s="26" t="s">
        <v>775</v>
      </c>
      <c r="K5" s="25" t="s">
        <v>286</v>
      </c>
      <c r="L5" s="30" t="s">
        <v>317</v>
      </c>
      <c r="M5" s="26" t="s">
        <v>1169</v>
      </c>
    </row>
    <row r="6" ht="43.5" customHeight="1" spans="1:13">
      <c r="A6" s="25">
        <v>2</v>
      </c>
      <c r="B6" s="26" t="s">
        <v>1170</v>
      </c>
      <c r="C6" s="26" t="s">
        <v>763</v>
      </c>
      <c r="D6" s="26" t="s">
        <v>1171</v>
      </c>
      <c r="E6" s="26" t="s">
        <v>1172</v>
      </c>
      <c r="F6" s="26" t="s">
        <v>1173</v>
      </c>
      <c r="G6" s="27"/>
      <c r="H6" s="28"/>
      <c r="I6" s="29" t="s">
        <v>256</v>
      </c>
      <c r="J6" s="26" t="s">
        <v>767</v>
      </c>
      <c r="K6" s="25" t="s">
        <v>286</v>
      </c>
      <c r="L6" s="30" t="s">
        <v>317</v>
      </c>
      <c r="M6" s="26" t="s">
        <v>1174</v>
      </c>
    </row>
    <row r="7" ht="43.5" customHeight="1" spans="1:13">
      <c r="A7" s="25">
        <v>3</v>
      </c>
      <c r="B7" s="26" t="s">
        <v>1175</v>
      </c>
      <c r="C7" s="26" t="s">
        <v>697</v>
      </c>
      <c r="D7" s="26" t="s">
        <v>1176</v>
      </c>
      <c r="E7" s="26" t="s">
        <v>1177</v>
      </c>
      <c r="F7" s="26" t="s">
        <v>1178</v>
      </c>
      <c r="G7" s="27"/>
      <c r="H7" s="28"/>
      <c r="I7" s="29" t="s">
        <v>256</v>
      </c>
      <c r="J7" s="26" t="s">
        <v>701</v>
      </c>
      <c r="K7" s="25" t="s">
        <v>286</v>
      </c>
      <c r="L7" s="31" t="s">
        <v>287</v>
      </c>
      <c r="M7" s="26" t="s">
        <v>1179</v>
      </c>
    </row>
    <row r="8" ht="43.5" customHeight="1" spans="1:13">
      <c r="A8" s="25">
        <v>4</v>
      </c>
      <c r="B8" s="26" t="s">
        <v>1180</v>
      </c>
      <c r="C8" s="26" t="s">
        <v>1181</v>
      </c>
      <c r="D8" s="26" t="s">
        <v>1182</v>
      </c>
      <c r="E8" s="26" t="s">
        <v>1183</v>
      </c>
      <c r="F8" s="26" t="s">
        <v>1184</v>
      </c>
      <c r="G8" s="27"/>
      <c r="H8" s="28"/>
      <c r="I8" s="29" t="s">
        <v>256</v>
      </c>
      <c r="J8" s="26" t="s">
        <v>1185</v>
      </c>
      <c r="K8" s="25" t="s">
        <v>286</v>
      </c>
      <c r="L8" s="31" t="s">
        <v>287</v>
      </c>
      <c r="M8" s="26" t="s">
        <v>1186</v>
      </c>
    </row>
    <row r="9" ht="43.5" customHeight="1" spans="1:13">
      <c r="A9" s="25">
        <v>5</v>
      </c>
      <c r="B9" s="26" t="s">
        <v>1187</v>
      </c>
      <c r="C9" s="26" t="s">
        <v>1188</v>
      </c>
      <c r="D9" s="26" t="s">
        <v>1189</v>
      </c>
      <c r="E9" s="26" t="s">
        <v>1190</v>
      </c>
      <c r="F9" s="26" t="s">
        <v>1191</v>
      </c>
      <c r="G9" s="27"/>
      <c r="H9" s="28"/>
      <c r="I9" s="32" t="s">
        <v>241</v>
      </c>
      <c r="J9" s="26" t="s">
        <v>1192</v>
      </c>
      <c r="K9" s="25" t="s">
        <v>286</v>
      </c>
      <c r="L9" s="31" t="s">
        <v>287</v>
      </c>
      <c r="M9" s="26" t="s">
        <v>1193</v>
      </c>
    </row>
    <row r="10" ht="43.5" customHeight="1" spans="1:13">
      <c r="A10" s="25">
        <v>6</v>
      </c>
      <c r="B10" s="26" t="s">
        <v>1194</v>
      </c>
      <c r="C10" s="26" t="s">
        <v>432</v>
      </c>
      <c r="D10" s="26" t="s">
        <v>1195</v>
      </c>
      <c r="E10" s="26" t="s">
        <v>1196</v>
      </c>
      <c r="F10" s="26" t="s">
        <v>1197</v>
      </c>
      <c r="G10" s="27"/>
      <c r="H10" s="28"/>
      <c r="I10" s="29" t="s">
        <v>256</v>
      </c>
      <c r="J10" s="26" t="s">
        <v>436</v>
      </c>
      <c r="K10" s="25" t="s">
        <v>258</v>
      </c>
      <c r="L10" s="33" t="s">
        <v>259</v>
      </c>
      <c r="M10" s="26" t="s">
        <v>1198</v>
      </c>
    </row>
    <row r="11" ht="43.5" customHeight="1" spans="1:13">
      <c r="A11" s="25">
        <v>7</v>
      </c>
      <c r="B11" s="26" t="s">
        <v>1199</v>
      </c>
      <c r="C11" s="26" t="s">
        <v>1200</v>
      </c>
      <c r="D11" s="26" t="s">
        <v>1201</v>
      </c>
      <c r="E11" s="26" t="s">
        <v>1202</v>
      </c>
      <c r="F11" s="26" t="s">
        <v>1203</v>
      </c>
      <c r="G11" s="27"/>
      <c r="H11" s="28"/>
      <c r="I11" s="32" t="s">
        <v>241</v>
      </c>
      <c r="J11" s="26" t="s">
        <v>1204</v>
      </c>
      <c r="K11" s="25" t="s">
        <v>195</v>
      </c>
      <c r="L11" s="34" t="s">
        <v>196</v>
      </c>
      <c r="M11" s="35"/>
    </row>
    <row r="12" ht="43.5" customHeight="1" spans="1:13">
      <c r="A12" s="25">
        <v>8</v>
      </c>
      <c r="B12" s="26" t="s">
        <v>1205</v>
      </c>
      <c r="C12" s="26" t="s">
        <v>1200</v>
      </c>
      <c r="D12" s="26" t="s">
        <v>1206</v>
      </c>
      <c r="E12" s="26" t="s">
        <v>1207</v>
      </c>
      <c r="F12" s="26" t="s">
        <v>1208</v>
      </c>
      <c r="G12" s="27"/>
      <c r="H12" s="28"/>
      <c r="I12" s="36" t="s">
        <v>193</v>
      </c>
      <c r="J12" s="26" t="s">
        <v>1209</v>
      </c>
      <c r="K12" s="25" t="s">
        <v>205</v>
      </c>
      <c r="L12" s="37" t="s">
        <v>206</v>
      </c>
      <c r="M12" s="26" t="s">
        <v>1210</v>
      </c>
    </row>
    <row r="13" ht="43.5" customHeight="1" spans="1:13">
      <c r="A13" s="25">
        <v>9</v>
      </c>
      <c r="B13" s="26" t="s">
        <v>1211</v>
      </c>
      <c r="C13" s="26" t="s">
        <v>1212</v>
      </c>
      <c r="D13" s="26" t="s">
        <v>1213</v>
      </c>
      <c r="E13" s="26" t="s">
        <v>1214</v>
      </c>
      <c r="F13" s="26" t="s">
        <v>1215</v>
      </c>
      <c r="G13" s="27"/>
      <c r="H13" s="28"/>
      <c r="I13" s="36" t="s">
        <v>193</v>
      </c>
      <c r="J13" s="26" t="s">
        <v>1216</v>
      </c>
      <c r="K13" s="25" t="s">
        <v>195</v>
      </c>
      <c r="L13" s="34" t="s">
        <v>196</v>
      </c>
      <c r="M13" s="35"/>
    </row>
    <row r="14" ht="43.5" customHeight="1" spans="1:13">
      <c r="A14" s="25">
        <v>10</v>
      </c>
      <c r="B14" s="26" t="s">
        <v>1217</v>
      </c>
      <c r="C14" s="26" t="s">
        <v>1218</v>
      </c>
      <c r="D14" s="26" t="s">
        <v>1219</v>
      </c>
      <c r="E14" s="26" t="s">
        <v>1220</v>
      </c>
      <c r="F14" s="26" t="s">
        <v>1221</v>
      </c>
      <c r="G14" s="27"/>
      <c r="H14" s="28"/>
      <c r="I14" s="32" t="s">
        <v>241</v>
      </c>
      <c r="J14" s="26" t="s">
        <v>1222</v>
      </c>
      <c r="K14" s="25" t="s">
        <v>286</v>
      </c>
      <c r="L14" s="30" t="s">
        <v>317</v>
      </c>
      <c r="M14" s="26" t="s">
        <v>1223</v>
      </c>
    </row>
    <row r="15" ht="43.5" customHeight="1" spans="1:13">
      <c r="A15" s="25">
        <v>11</v>
      </c>
      <c r="B15" s="26" t="s">
        <v>1224</v>
      </c>
      <c r="C15" s="26" t="s">
        <v>1036</v>
      </c>
      <c r="D15" s="26" t="s">
        <v>1225</v>
      </c>
      <c r="E15" s="26" t="s">
        <v>1226</v>
      </c>
      <c r="F15" s="26" t="s">
        <v>1227</v>
      </c>
      <c r="G15" s="27"/>
      <c r="H15" s="28"/>
      <c r="I15" s="32" t="s">
        <v>241</v>
      </c>
      <c r="J15" s="26" t="s">
        <v>1228</v>
      </c>
      <c r="K15" s="25" t="s">
        <v>286</v>
      </c>
      <c r="L15" s="30" t="s">
        <v>317</v>
      </c>
      <c r="M15" s="26" t="s">
        <v>1229</v>
      </c>
    </row>
    <row r="16" ht="43.5" customHeight="1" spans="1:13">
      <c r="A16" s="25">
        <v>12</v>
      </c>
      <c r="B16" s="26" t="s">
        <v>1230</v>
      </c>
      <c r="C16" s="26" t="s">
        <v>1231</v>
      </c>
      <c r="D16" s="26" t="s">
        <v>1232</v>
      </c>
      <c r="E16" s="26" t="s">
        <v>1233</v>
      </c>
      <c r="F16" s="26" t="s">
        <v>1234</v>
      </c>
      <c r="G16" s="27"/>
      <c r="H16" s="28"/>
      <c r="I16" s="29" t="s">
        <v>256</v>
      </c>
      <c r="J16" s="26" t="s">
        <v>1235</v>
      </c>
      <c r="K16" s="25" t="s">
        <v>286</v>
      </c>
      <c r="L16" s="30" t="s">
        <v>317</v>
      </c>
      <c r="M16" s="26" t="s">
        <v>1236</v>
      </c>
    </row>
  </sheetData>
  <mergeCells count="2">
    <mergeCell ref="A1:M1"/>
    <mergeCell ref="A2:M2"/>
  </mergeCells>
  <dataValidations count="1">
    <dataValidation type="list" allowBlank="1" sqref="H5:H16">
      <formula1>"合规,低风险,中风险,高风险,待核实"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A1" sqref="A1:K1"/>
    </sheetView>
  </sheetViews>
  <sheetFormatPr defaultColWidth="8.67857142857143" defaultRowHeight="16.8"/>
  <cols>
    <col min="1" max="1" width="20" customWidth="1"/>
    <col min="2" max="4" width="9" customWidth="1"/>
    <col min="5" max="5" width="8" customWidth="1"/>
    <col min="6" max="6" width="9" customWidth="1"/>
    <col min="7" max="7" width="16" customWidth="1"/>
    <col min="8" max="8" width="14" customWidth="1"/>
    <col min="9" max="9" width="12" customWidth="1"/>
    <col min="10" max="10" width="14" customWidth="1"/>
    <col min="11" max="11" width="26" customWidth="1"/>
  </cols>
  <sheetData>
    <row r="1" ht="27.75" customHeight="1" spans="1:11">
      <c r="A1" s="1" t="s">
        <v>1237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5.5" customHeight="1" spans="1:11">
      <c r="A2" s="2" t="s">
        <v>1238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36" customHeight="1" spans="1:11">
      <c r="A4" s="19" t="s">
        <v>168</v>
      </c>
      <c r="B4" s="19" t="s">
        <v>1239</v>
      </c>
      <c r="C4" s="19" t="s">
        <v>1240</v>
      </c>
      <c r="D4" s="19" t="s">
        <v>1241</v>
      </c>
      <c r="E4" s="19" t="s">
        <v>1242</v>
      </c>
      <c r="F4" s="19" t="s">
        <v>1243</v>
      </c>
      <c r="G4" s="19" t="s">
        <v>1244</v>
      </c>
      <c r="H4" s="19" t="s">
        <v>1245</v>
      </c>
      <c r="I4" s="19" t="s">
        <v>1246</v>
      </c>
      <c r="J4" s="19" t="s">
        <v>1247</v>
      </c>
      <c r="K4" s="19" t="s">
        <v>1248</v>
      </c>
    </row>
    <row r="5" ht="25.5" customHeight="1" spans="1:11">
      <c r="A5" s="8" t="s">
        <v>185</v>
      </c>
      <c r="B5" s="20">
        <f>COUNTIFS(十大板块诊断主表!$B$5:$B$166,$A5,十大板块诊断主表!$K$5:$K$166,"高风险")</f>
        <v>0</v>
      </c>
      <c r="C5" s="21">
        <f>COUNTIFS(十大板块诊断主表!$B$5:$B$166,$A5,十大板块诊断主表!$K$5:$K$166,"中风险")</f>
        <v>0</v>
      </c>
      <c r="D5" s="21">
        <f>COUNTIFS(十大板块诊断主表!$B$5:$B$166,$A5,十大板块诊断主表!$K$5:$K$166,"低风险")</f>
        <v>0</v>
      </c>
      <c r="E5" s="21">
        <f>COUNTIFS(十大板块诊断主表!$B$5:$B$166,$A5,十大板块诊断主表!$K$5:$K$166,"合规")</f>
        <v>0</v>
      </c>
      <c r="F5" s="21">
        <f>COUNTIFS(十大板块诊断主表!$B$5:$B$166,$A5,十大板块诊断主表!$K$5:$K$166,"待核实")</f>
        <v>0</v>
      </c>
      <c r="G5" s="21">
        <f>COUNTIFS(十大板块诊断主表!$B$5:$B$166,$A5,十大板块诊断主表!$Q$5:$Q$166,"&gt;=4")</f>
        <v>6</v>
      </c>
      <c r="H5" s="21" t="str">
        <f t="shared" ref="H5:H14" si="0">IF(B5&gt;0,"① 高",IF(C5&gt;0,"② 中",IF(F5&gt;0,"③ 待核实",IF(D5&gt;0,"④ 低","⑤ 合规"))))</f>
        <v>⑤ 合规</v>
      </c>
      <c r="I5" s="22"/>
      <c r="J5" s="22"/>
      <c r="K5" s="22"/>
    </row>
    <row r="6" ht="25.5" customHeight="1" spans="1:11">
      <c r="A6" s="8" t="s">
        <v>290</v>
      </c>
      <c r="B6" s="20">
        <f>COUNTIFS(十大板块诊断主表!$B$5:$B$166,$A6,十大板块诊断主表!$K$5:$K$166,"高风险")</f>
        <v>0</v>
      </c>
      <c r="C6" s="21">
        <f>COUNTIFS(十大板块诊断主表!$B$5:$B$166,$A6,十大板块诊断主表!$K$5:$K$166,"中风险")</f>
        <v>0</v>
      </c>
      <c r="D6" s="21">
        <f>COUNTIFS(十大板块诊断主表!$B$5:$B$166,$A6,十大板块诊断主表!$K$5:$K$166,"低风险")</f>
        <v>0</v>
      </c>
      <c r="E6" s="21">
        <f>COUNTIFS(十大板块诊断主表!$B$5:$B$166,$A6,十大板块诊断主表!$K$5:$K$166,"合规")</f>
        <v>0</v>
      </c>
      <c r="F6" s="21">
        <f>COUNTIFS(十大板块诊断主表!$B$5:$B$166,$A6,十大板块诊断主表!$K$5:$K$166,"待核实")</f>
        <v>0</v>
      </c>
      <c r="G6" s="21">
        <f>COUNTIFS(十大板块诊断主表!$B$5:$B$166,$A6,十大板块诊断主表!$Q$5:$Q$166,"&gt;=4")</f>
        <v>15</v>
      </c>
      <c r="H6" s="21" t="str">
        <f t="shared" si="0"/>
        <v>⑤ 合规</v>
      </c>
      <c r="I6" s="22"/>
      <c r="J6" s="22"/>
      <c r="K6" s="22"/>
    </row>
    <row r="7" ht="25.5" customHeight="1" spans="1:11">
      <c r="A7" s="8" t="s">
        <v>474</v>
      </c>
      <c r="B7" s="20">
        <f>COUNTIFS(十大板块诊断主表!$B$5:$B$166,$A7,十大板块诊断主表!$K$5:$K$166,"高风险")</f>
        <v>0</v>
      </c>
      <c r="C7" s="21">
        <f>COUNTIFS(十大板块诊断主表!$B$5:$B$166,$A7,十大板块诊断主表!$K$5:$K$166,"中风险")</f>
        <v>0</v>
      </c>
      <c r="D7" s="21">
        <f>COUNTIFS(十大板块诊断主表!$B$5:$B$166,$A7,十大板块诊断主表!$K$5:$K$166,"低风险")</f>
        <v>0</v>
      </c>
      <c r="E7" s="21">
        <f>COUNTIFS(十大板块诊断主表!$B$5:$B$166,$A7,十大板块诊断主表!$K$5:$K$166,"合规")</f>
        <v>0</v>
      </c>
      <c r="F7" s="21">
        <f>COUNTIFS(十大板块诊断主表!$B$5:$B$166,$A7,十大板块诊断主表!$K$5:$K$166,"待核实")</f>
        <v>0</v>
      </c>
      <c r="G7" s="21">
        <f>COUNTIFS(十大板块诊断主表!$B$5:$B$166,$A7,十大板块诊断主表!$Q$5:$Q$166,"&gt;=4")</f>
        <v>5</v>
      </c>
      <c r="H7" s="21" t="str">
        <f t="shared" si="0"/>
        <v>⑤ 合规</v>
      </c>
      <c r="I7" s="22"/>
      <c r="J7" s="22"/>
      <c r="K7" s="22"/>
    </row>
    <row r="8" ht="25.5" customHeight="1" spans="1:11">
      <c r="A8" s="8" t="s">
        <v>573</v>
      </c>
      <c r="B8" s="20">
        <f>COUNTIFS(十大板块诊断主表!$B$5:$B$166,$A8,十大板块诊断主表!$K$5:$K$166,"高风险")</f>
        <v>0</v>
      </c>
      <c r="C8" s="21">
        <f>COUNTIFS(十大板块诊断主表!$B$5:$B$166,$A8,十大板块诊断主表!$K$5:$K$166,"中风险")</f>
        <v>0</v>
      </c>
      <c r="D8" s="21">
        <f>COUNTIFS(十大板块诊断主表!$B$5:$B$166,$A8,十大板块诊断主表!$K$5:$K$166,"低风险")</f>
        <v>0</v>
      </c>
      <c r="E8" s="21">
        <f>COUNTIFS(十大板块诊断主表!$B$5:$B$166,$A8,十大板块诊断主表!$K$5:$K$166,"合规")</f>
        <v>0</v>
      </c>
      <c r="F8" s="21">
        <f>COUNTIFS(十大板块诊断主表!$B$5:$B$166,$A8,十大板块诊断主表!$K$5:$K$166,"待核实")</f>
        <v>0</v>
      </c>
      <c r="G8" s="21">
        <f>COUNTIFS(十大板块诊断主表!$B$5:$B$166,$A8,十大板块诊断主表!$Q$5:$Q$166,"&gt;=4")</f>
        <v>6</v>
      </c>
      <c r="H8" s="21" t="str">
        <f t="shared" si="0"/>
        <v>⑤ 合规</v>
      </c>
      <c r="I8" s="22"/>
      <c r="J8" s="22"/>
      <c r="K8" s="22"/>
    </row>
    <row r="9" ht="25.5" customHeight="1" spans="1:11">
      <c r="A9" s="8" t="s">
        <v>651</v>
      </c>
      <c r="B9" s="20">
        <f>COUNTIFS(十大板块诊断主表!$B$5:$B$166,$A9,十大板块诊断主表!$K$5:$K$166,"高风险")</f>
        <v>0</v>
      </c>
      <c r="C9" s="21">
        <f>COUNTIFS(十大板块诊断主表!$B$5:$B$166,$A9,十大板块诊断主表!$K$5:$K$166,"中风险")</f>
        <v>0</v>
      </c>
      <c r="D9" s="21">
        <f>COUNTIFS(十大板块诊断主表!$B$5:$B$166,$A9,十大板块诊断主表!$K$5:$K$166,"低风险")</f>
        <v>0</v>
      </c>
      <c r="E9" s="21">
        <f>COUNTIFS(十大板块诊断主表!$B$5:$B$166,$A9,十大板块诊断主表!$K$5:$K$166,"合规")</f>
        <v>0</v>
      </c>
      <c r="F9" s="21">
        <f>COUNTIFS(十大板块诊断主表!$B$5:$B$166,$A9,十大板块诊断主表!$K$5:$K$166,"待核实")</f>
        <v>0</v>
      </c>
      <c r="G9" s="21">
        <f>COUNTIFS(十大板块诊断主表!$B$5:$B$166,$A9,十大板块诊断主表!$Q$5:$Q$166,"&gt;=4")</f>
        <v>5</v>
      </c>
      <c r="H9" s="21" t="str">
        <f t="shared" si="0"/>
        <v>⑤ 合规</v>
      </c>
      <c r="I9" s="22"/>
      <c r="J9" s="22"/>
      <c r="K9" s="22"/>
    </row>
    <row r="10" ht="25.5" customHeight="1" spans="1:11">
      <c r="A10" s="8" t="s">
        <v>747</v>
      </c>
      <c r="B10" s="20">
        <f>COUNTIFS(十大板块诊断主表!$B$5:$B$166,$A10,十大板块诊断主表!$K$5:$K$166,"高风险")</f>
        <v>0</v>
      </c>
      <c r="C10" s="21">
        <f>COUNTIFS(十大板块诊断主表!$B$5:$B$166,$A10,十大板块诊断主表!$K$5:$K$166,"中风险")</f>
        <v>0</v>
      </c>
      <c r="D10" s="21">
        <f>COUNTIFS(十大板块诊断主表!$B$5:$B$166,$A10,十大板块诊断主表!$K$5:$K$166,"低风险")</f>
        <v>0</v>
      </c>
      <c r="E10" s="21">
        <f>COUNTIFS(十大板块诊断主表!$B$5:$B$166,$A10,十大板块诊断主表!$K$5:$K$166,"合规")</f>
        <v>0</v>
      </c>
      <c r="F10" s="21">
        <f>COUNTIFS(十大板块诊断主表!$B$5:$B$166,$A10,十大板块诊断主表!$K$5:$K$166,"待核实")</f>
        <v>0</v>
      </c>
      <c r="G10" s="21">
        <f>COUNTIFS(十大板块诊断主表!$B$5:$B$166,$A10,十大板块诊断主表!$Q$5:$Q$166,"&gt;=4")</f>
        <v>8</v>
      </c>
      <c r="H10" s="21" t="str">
        <f t="shared" si="0"/>
        <v>⑤ 合规</v>
      </c>
      <c r="I10" s="22"/>
      <c r="J10" s="22"/>
      <c r="K10" s="22"/>
    </row>
    <row r="11" ht="25.5" customHeight="1" spans="1:11">
      <c r="A11" s="8" t="s">
        <v>832</v>
      </c>
      <c r="B11" s="20">
        <f>COUNTIFS(十大板块诊断主表!$B$5:$B$166,$A11,十大板块诊断主表!$K$5:$K$166,"高风险")</f>
        <v>0</v>
      </c>
      <c r="C11" s="21">
        <f>COUNTIFS(十大板块诊断主表!$B$5:$B$166,$A11,十大板块诊断主表!$K$5:$K$166,"中风险")</f>
        <v>0</v>
      </c>
      <c r="D11" s="21">
        <f>COUNTIFS(十大板块诊断主表!$B$5:$B$166,$A11,十大板块诊断主表!$K$5:$K$166,"低风险")</f>
        <v>0</v>
      </c>
      <c r="E11" s="21">
        <f>COUNTIFS(十大板块诊断主表!$B$5:$B$166,$A11,十大板块诊断主表!$K$5:$K$166,"合规")</f>
        <v>0</v>
      </c>
      <c r="F11" s="21">
        <f>COUNTIFS(十大板块诊断主表!$B$5:$B$166,$A11,十大板块诊断主表!$K$5:$K$166,"待核实")</f>
        <v>0</v>
      </c>
      <c r="G11" s="21">
        <f>COUNTIFS(十大板块诊断主表!$B$5:$B$166,$A11,十大板块诊断主表!$Q$5:$Q$166,"&gt;=4")</f>
        <v>6</v>
      </c>
      <c r="H11" s="21" t="str">
        <f t="shared" si="0"/>
        <v>⑤ 合规</v>
      </c>
      <c r="I11" s="22"/>
      <c r="J11" s="22"/>
      <c r="K11" s="22"/>
    </row>
    <row r="12" ht="25.5" customHeight="1" spans="1:11">
      <c r="A12" s="8" t="s">
        <v>930</v>
      </c>
      <c r="B12" s="20">
        <f>COUNTIFS(十大板块诊断主表!$B$5:$B$166,$A12,十大板块诊断主表!$K$5:$K$166,"高风险")</f>
        <v>0</v>
      </c>
      <c r="C12" s="21">
        <f>COUNTIFS(十大板块诊断主表!$B$5:$B$166,$A12,十大板块诊断主表!$K$5:$K$166,"中风险")</f>
        <v>0</v>
      </c>
      <c r="D12" s="21">
        <f>COUNTIFS(十大板块诊断主表!$B$5:$B$166,$A12,十大板块诊断主表!$K$5:$K$166,"低风险")</f>
        <v>0</v>
      </c>
      <c r="E12" s="21">
        <f>COUNTIFS(十大板块诊断主表!$B$5:$B$166,$A12,十大板块诊断主表!$K$5:$K$166,"合规")</f>
        <v>0</v>
      </c>
      <c r="F12" s="21">
        <f>COUNTIFS(十大板块诊断主表!$B$5:$B$166,$A12,十大板块诊断主表!$K$5:$K$166,"待核实")</f>
        <v>0</v>
      </c>
      <c r="G12" s="21">
        <f>COUNTIFS(十大板块诊断主表!$B$5:$B$166,$A12,十大板块诊断主表!$Q$5:$Q$166,"&gt;=4")</f>
        <v>10</v>
      </c>
      <c r="H12" s="21" t="str">
        <f t="shared" si="0"/>
        <v>⑤ 合规</v>
      </c>
      <c r="I12" s="22"/>
      <c r="J12" s="22"/>
      <c r="K12" s="22"/>
    </row>
    <row r="13" ht="25.5" customHeight="1" spans="1:11">
      <c r="A13" s="8" t="s">
        <v>1027</v>
      </c>
      <c r="B13" s="20">
        <f>COUNTIFS(十大板块诊断主表!$B$5:$B$166,$A13,十大板块诊断主表!$K$5:$K$166,"高风险")</f>
        <v>0</v>
      </c>
      <c r="C13" s="21">
        <f>COUNTIFS(十大板块诊断主表!$B$5:$B$166,$A13,十大板块诊断主表!$K$5:$K$166,"中风险")</f>
        <v>0</v>
      </c>
      <c r="D13" s="21">
        <f>COUNTIFS(十大板块诊断主表!$B$5:$B$166,$A13,十大板块诊断主表!$K$5:$K$166,"低风险")</f>
        <v>0</v>
      </c>
      <c r="E13" s="21">
        <f>COUNTIFS(十大板块诊断主表!$B$5:$B$166,$A13,十大板块诊断主表!$K$5:$K$166,"合规")</f>
        <v>0</v>
      </c>
      <c r="F13" s="21">
        <f>COUNTIFS(十大板块诊断主表!$B$5:$B$166,$A13,十大板块诊断主表!$K$5:$K$166,"待核实")</f>
        <v>0</v>
      </c>
      <c r="G13" s="21">
        <f>COUNTIFS(十大板块诊断主表!$B$5:$B$166,$A13,十大板块诊断主表!$Q$5:$Q$166,"&gt;=4")</f>
        <v>1</v>
      </c>
      <c r="H13" s="21" t="str">
        <f t="shared" si="0"/>
        <v>⑤ 合规</v>
      </c>
      <c r="I13" s="22"/>
      <c r="J13" s="22"/>
      <c r="K13" s="22"/>
    </row>
    <row r="14" ht="25.5" customHeight="1" spans="1:11">
      <c r="A14" s="8" t="s">
        <v>1084</v>
      </c>
      <c r="B14" s="20">
        <f>COUNTIFS(十大板块诊断主表!$B$5:$B$166,$A14,十大板块诊断主表!$K$5:$K$166,"高风险")</f>
        <v>0</v>
      </c>
      <c r="C14" s="21">
        <f>COUNTIFS(十大板块诊断主表!$B$5:$B$166,$A14,十大板块诊断主表!$K$5:$K$166,"中风险")</f>
        <v>0</v>
      </c>
      <c r="D14" s="21">
        <f>COUNTIFS(十大板块诊断主表!$B$5:$B$166,$A14,十大板块诊断主表!$K$5:$K$166,"低风险")</f>
        <v>0</v>
      </c>
      <c r="E14" s="21">
        <f>COUNTIFS(十大板块诊断主表!$B$5:$B$166,$A14,十大板块诊断主表!$K$5:$K$166,"合规")</f>
        <v>0</v>
      </c>
      <c r="F14" s="21">
        <f>COUNTIFS(十大板块诊断主表!$B$5:$B$166,$A14,十大板块诊断主表!$K$5:$K$166,"待核实")</f>
        <v>0</v>
      </c>
      <c r="G14" s="21">
        <f>COUNTIFS(十大板块诊断主表!$B$5:$B$166,$A14,十大板块诊断主表!$Q$5:$Q$166,"&gt;=4")</f>
        <v>2</v>
      </c>
      <c r="H14" s="21" t="str">
        <f t="shared" si="0"/>
        <v>⑤ 合规</v>
      </c>
      <c r="I14" s="22"/>
      <c r="J14" s="22"/>
      <c r="K14" s="22"/>
    </row>
    <row r="15" ht="25.5" customHeight="1" spans="1:11">
      <c r="A15" s="11" t="s">
        <v>1249</v>
      </c>
      <c r="B15" s="11">
        <f t="shared" ref="B15:G15" si="1">SUM(B5:B14)</f>
        <v>0</v>
      </c>
      <c r="C15" s="11">
        <f t="shared" si="1"/>
        <v>0</v>
      </c>
      <c r="D15" s="11">
        <f t="shared" si="1"/>
        <v>0</v>
      </c>
      <c r="E15" s="11">
        <f t="shared" si="1"/>
        <v>0</v>
      </c>
      <c r="F15" s="11">
        <f t="shared" si="1"/>
        <v>0</v>
      </c>
      <c r="G15" s="11">
        <f t="shared" si="1"/>
        <v>64</v>
      </c>
      <c r="H15" s="11"/>
      <c r="I15" s="11"/>
      <c r="J15" s="11"/>
      <c r="K15" s="11"/>
    </row>
    <row r="17" ht="15" customHeight="1" spans="1:11">
      <c r="A17" s="23" t="s">
        <v>1250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</row>
    <row r="18" spans="1:1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</row>
    <row r="19" spans="1:1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</row>
  </sheetData>
  <mergeCells count="3">
    <mergeCell ref="A1:K1"/>
    <mergeCell ref="A2:K2"/>
    <mergeCell ref="A17:K19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D26" sqref="D26"/>
    </sheetView>
  </sheetViews>
  <sheetFormatPr defaultColWidth="8.67857142857143" defaultRowHeight="16.8" outlineLevelCol="3"/>
  <cols>
    <col min="1" max="1" width="24" customWidth="1"/>
    <col min="2" max="3" width="12" customWidth="1"/>
    <col min="4" max="4" width="52" customWidth="1"/>
  </cols>
  <sheetData>
    <row r="1" ht="27.75" customHeight="1" spans="1:4">
      <c r="A1" s="1" t="s">
        <v>1251</v>
      </c>
      <c r="B1" s="1"/>
      <c r="C1" s="1"/>
      <c r="D1" s="1"/>
    </row>
    <row r="2" ht="25.5" customHeight="1" spans="1:4">
      <c r="A2" s="2" t="s">
        <v>1252</v>
      </c>
      <c r="B2" s="2"/>
      <c r="C2" s="2"/>
      <c r="D2" s="2"/>
    </row>
    <row r="4" ht="19.5" customHeight="1" spans="1:4">
      <c r="A4" s="3" t="s">
        <v>1253</v>
      </c>
      <c r="B4" s="3"/>
      <c r="C4" s="3"/>
      <c r="D4" s="3"/>
    </row>
    <row r="5" ht="24" customHeight="1" spans="1:4">
      <c r="A5" s="4" t="s">
        <v>1254</v>
      </c>
      <c r="B5" s="4" t="s">
        <v>1255</v>
      </c>
      <c r="C5" s="4" t="s">
        <v>1256</v>
      </c>
      <c r="D5" s="4" t="s">
        <v>1257</v>
      </c>
    </row>
    <row r="6" ht="30" customHeight="1" spans="1:4">
      <c r="A6" s="5" t="s">
        <v>193</v>
      </c>
      <c r="B6" s="6">
        <f>SUMPRODUCT((十大板块诊断主表!$L$5:$L$166="T")*((十大板块诊断主表!$K$5:$K$166="高风险")+(十大板块诊断主表!$K$5:$K$166="中风险")+(十大板块诊断主表!$K$5:$K$166="待核实")))</f>
        <v>0</v>
      </c>
      <c r="C6" s="7" t="str">
        <f>IF($B$9=0,"",B6/$B$9)</f>
        <v/>
      </c>
      <c r="D6" s="8" t="s">
        <v>1258</v>
      </c>
    </row>
    <row r="7" ht="30" customHeight="1" spans="1:4">
      <c r="A7" s="9" t="s">
        <v>241</v>
      </c>
      <c r="B7" s="6">
        <f>SUMPRODUCT((十大板块诊断主表!$L$5:$L$166="P")*((十大板块诊断主表!$K$5:$K$166="高风险")+(十大板块诊断主表!$K$5:$K$166="中风险")+(十大板块诊断主表!$K$5:$K$166="待核实")))</f>
        <v>0</v>
      </c>
      <c r="C7" s="7" t="str">
        <f>IF($B$9=0,"",B7/$B$9)</f>
        <v/>
      </c>
      <c r="D7" s="8" t="s">
        <v>1259</v>
      </c>
    </row>
    <row r="8" ht="30" customHeight="1" spans="1:4">
      <c r="A8" s="10" t="s">
        <v>256</v>
      </c>
      <c r="B8" s="6">
        <f>SUMPRODUCT((十大板块诊断主表!$L$5:$L$166="S")*((十大板块诊断主表!$K$5:$K$166="高风险")+(十大板块诊断主表!$K$5:$K$166="中风险")+(十大板块诊断主表!$K$5:$K$166="待核实")))</f>
        <v>0</v>
      </c>
      <c r="C8" s="7" t="str">
        <f>IF($B$9=0,"",B8/$B$9)</f>
        <v/>
      </c>
      <c r="D8" s="8" t="s">
        <v>1260</v>
      </c>
    </row>
    <row r="9" spans="1:4">
      <c r="A9" s="11" t="s">
        <v>1249</v>
      </c>
      <c r="B9" s="11">
        <f>SUM(B6:B8)</f>
        <v>0</v>
      </c>
      <c r="C9" s="11"/>
      <c r="D9" s="11"/>
    </row>
    <row r="11" ht="19.5" customHeight="1" spans="1:4">
      <c r="A11" s="3" t="s">
        <v>1261</v>
      </c>
      <c r="B11" s="3"/>
      <c r="C11" s="3"/>
      <c r="D11" s="3"/>
    </row>
    <row r="12" ht="24" customHeight="1" spans="1:4">
      <c r="A12" s="4" t="s">
        <v>1262</v>
      </c>
      <c r="B12" s="4" t="s">
        <v>1255</v>
      </c>
      <c r="C12" s="4" t="s">
        <v>1256</v>
      </c>
      <c r="D12" s="4" t="s">
        <v>1263</v>
      </c>
    </row>
    <row r="13" ht="30" customHeight="1" spans="1:4">
      <c r="A13" s="12" t="s">
        <v>287</v>
      </c>
      <c r="B13" s="6">
        <f>SUMPRODUCT((十大板块诊断主表!$O$5:$O$166="★立即")*((十大板块诊断主表!$K$5:$K$166="高风险")+(十大板块诊断主表!$K$5:$K$166="中风险")+(十大板块诊断主表!$K$5:$K$166="待核实")))</f>
        <v>0</v>
      </c>
      <c r="C13" s="7" t="str">
        <f t="shared" ref="C13:C19" si="0">IF($B$20=0,"",B13/$B$20)</f>
        <v/>
      </c>
      <c r="D13" s="8" t="s">
        <v>1264</v>
      </c>
    </row>
    <row r="14" ht="30" customHeight="1" spans="1:4">
      <c r="A14" s="13" t="s">
        <v>1265</v>
      </c>
      <c r="B14" s="6">
        <f>SUMPRODUCT((十大板块诊断主表!$O$5:$O$166="一期·证据")*((十大板块诊断主表!$K$5:$K$166="高风险")+(十大板块诊断主表!$K$5:$K$166="中风险")+(十大板块诊断主表!$K$5:$K$166="待核实")))</f>
        <v>0</v>
      </c>
      <c r="C14" s="7" t="str">
        <f t="shared" si="0"/>
        <v/>
      </c>
      <c r="D14" s="8" t="s">
        <v>1266</v>
      </c>
    </row>
    <row r="15" ht="30" customHeight="1" spans="1:4">
      <c r="A15" s="14" t="s">
        <v>1267</v>
      </c>
      <c r="B15" s="6">
        <f>SUMPRODUCT((十大板块诊断主表!$O$5:$O$166="二期·结构")*((十大板块诊断主表!$K$5:$K$166="高风险")+(十大板块诊断主表!$K$5:$K$166="中风险")+(十大板块诊断主表!$K$5:$K$166="待核实")))</f>
        <v>0</v>
      </c>
      <c r="C15" s="7" t="str">
        <f t="shared" si="0"/>
        <v/>
      </c>
      <c r="D15" s="8" t="s">
        <v>1268</v>
      </c>
    </row>
    <row r="16" ht="30" customHeight="1" spans="1:4">
      <c r="A16" s="15" t="s">
        <v>1269</v>
      </c>
      <c r="B16" s="6">
        <f>SUMPRODUCT((十大板块诊断主表!$O$5:$O$166="三期·负债")*((十大板块诊断主表!$K$5:$K$166="高风险")+(十大板块诊断主表!$K$5:$K$166="中风险")+(十大板块诊断主表!$K$5:$K$166="待核实")))</f>
        <v>0</v>
      </c>
      <c r="C16" s="7" t="str">
        <f t="shared" si="0"/>
        <v/>
      </c>
      <c r="D16" s="8" t="s">
        <v>1270</v>
      </c>
    </row>
    <row r="17" ht="30" customHeight="1" spans="1:4">
      <c r="A17" s="16" t="s">
        <v>1271</v>
      </c>
      <c r="B17" s="6">
        <f>SUMPRODUCT((十大板块诊断主表!$O$5:$O$166="选配·按业务")*((十大板块诊断主表!$K$5:$K$166="高风险")+(十大板块诊断主表!$K$5:$K$166="中风险")+(十大板块诊断主表!$K$5:$K$166="待核实")))</f>
        <v>0</v>
      </c>
      <c r="C17" s="7" t="str">
        <f t="shared" si="0"/>
        <v/>
      </c>
      <c r="D17" s="8" t="s">
        <v>1272</v>
      </c>
    </row>
    <row r="18" ht="30" customHeight="1" spans="1:4">
      <c r="A18" s="17" t="s">
        <v>1273</v>
      </c>
      <c r="B18" s="6">
        <f>SUMPRODUCT((十大板块诊断主表!$O$5:$O$166="备用·用到再补")*((十大板块诊断主表!$K$5:$K$166="高风险")+(十大板块诊断主表!$K$5:$K$166="中风险")+(十大板块诊断主表!$K$5:$K$166="待核实")))</f>
        <v>0</v>
      </c>
      <c r="C18" s="7" t="str">
        <f t="shared" si="0"/>
        <v/>
      </c>
      <c r="D18" s="8" t="s">
        <v>1274</v>
      </c>
    </row>
    <row r="19" ht="30" customHeight="1" spans="1:4">
      <c r="A19" s="18" t="s">
        <v>1275</v>
      </c>
      <c r="B19" s="6">
        <f>SUMPRODUCT((十大板块诊断主表!$O$5:$O$166="风控线·个案")*((十大板块诊断主表!$K$5:$K$166="高风险")+(十大板块诊断主表!$K$5:$K$166="中风险")+(十大板块诊断主表!$K$5:$K$166="待核实")))</f>
        <v>0</v>
      </c>
      <c r="C19" s="7" t="str">
        <f t="shared" si="0"/>
        <v/>
      </c>
      <c r="D19" s="8" t="s">
        <v>1276</v>
      </c>
    </row>
    <row r="20" spans="1:4">
      <c r="A20" s="11" t="s">
        <v>1249</v>
      </c>
      <c r="B20" s="11">
        <f>SUM(B13:B19)</f>
        <v>0</v>
      </c>
      <c r="C20" s="11"/>
      <c r="D20" s="11"/>
    </row>
  </sheetData>
  <mergeCells count="4">
    <mergeCell ref="A1:D1"/>
    <mergeCell ref="A2:D2"/>
    <mergeCell ref="A4:D4"/>
    <mergeCell ref="A11:D1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★企业变量表</vt:lpstr>
      <vt:lpstr>十大板块诊断主表</vt:lpstr>
      <vt:lpstr>税务维度专项诊断</vt:lpstr>
      <vt:lpstr>风险汇总与应对方案</vt:lpstr>
      <vt:lpstr>交付清单汇总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房俊伟</cp:lastModifiedBy>
  <cp:revision>0</cp:revision>
  <dcterms:created xsi:type="dcterms:W3CDTF">2026-07-13T15:32:00Z</dcterms:created>
  <dcterms:modified xsi:type="dcterms:W3CDTF">2026-08-25T15:55:42Z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161B9052906EE633A683546A5112C73D_42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